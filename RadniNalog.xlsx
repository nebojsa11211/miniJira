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SYNOLOGY\SynologyDrive\6 DOKUMENTI\IZRAČUN\IZRAČUNI 2. GEN\"/>
    </mc:Choice>
  </mc:AlternateContent>
  <xr:revisionPtr revIDLastSave="0" documentId="8_{7B137F70-36E5-4A90-90C5-BCB40E6DDED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RADNI NALOG" sheetId="1" r:id="rId1"/>
    <sheet name="KUPCI" sheetId="11" r:id="rId2"/>
    <sheet name="OTPREMNICA" sheetId="10" r:id="rId3"/>
  </sheets>
  <definedNames>
    <definedName name="_xlnm._FilterDatabase" localSheetId="0" hidden="1">'RADNI NALOG'!$B$9:$R$9</definedName>
    <definedName name="_xlnm.Print_Area" localSheetId="0">'RADNI NALOG'!$B$2:$T$49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0" l="1"/>
  <c r="B16" i="10"/>
  <c r="B8" i="10"/>
  <c r="J49" i="1"/>
  <c r="I49" i="1"/>
  <c r="H49" i="1"/>
  <c r="G49" i="1"/>
  <c r="D49" i="1"/>
  <c r="P48" i="1"/>
  <c r="M48" i="1"/>
  <c r="J48" i="1"/>
  <c r="I48" i="1"/>
  <c r="H48" i="1"/>
  <c r="G48" i="1"/>
  <c r="D48" i="1"/>
  <c r="J47" i="1"/>
  <c r="I47" i="1"/>
  <c r="H47" i="1"/>
  <c r="G47" i="1"/>
  <c r="D47" i="1"/>
  <c r="B47" i="1"/>
  <c r="P46" i="1"/>
  <c r="O46" i="1"/>
  <c r="J46" i="1"/>
  <c r="I46" i="1"/>
  <c r="H46" i="1"/>
  <c r="G46" i="1"/>
  <c r="D46" i="1"/>
  <c r="B46" i="1"/>
  <c r="J45" i="1"/>
  <c r="I45" i="1"/>
  <c r="H45" i="1"/>
  <c r="G45" i="1"/>
  <c r="D45" i="1"/>
  <c r="B45" i="1"/>
  <c r="R44" i="1"/>
  <c r="O44" i="1"/>
  <c r="M44" i="1"/>
  <c r="J44" i="1"/>
  <c r="I44" i="1"/>
  <c r="H44" i="1"/>
  <c r="G44" i="1"/>
  <c r="D44" i="1"/>
  <c r="B44" i="1"/>
  <c r="T43" i="1"/>
  <c r="S43" i="1"/>
  <c r="R43" i="1"/>
  <c r="Q43" i="1"/>
  <c r="P43" i="1"/>
  <c r="J43" i="1"/>
  <c r="I43" i="1"/>
  <c r="H43" i="1"/>
  <c r="G43" i="1"/>
  <c r="D43" i="1"/>
  <c r="B43" i="1"/>
  <c r="A43" i="1"/>
  <c r="A43" i="1" a="1"/>
  <c r="T40" i="1"/>
  <c r="S40" i="1"/>
  <c r="R40" i="1"/>
  <c r="Q40" i="1"/>
  <c r="P40" i="1"/>
  <c r="T39" i="1"/>
  <c r="S39" i="1"/>
  <c r="R39" i="1"/>
  <c r="Q39" i="1"/>
  <c r="P39" i="1"/>
  <c r="T38" i="1"/>
  <c r="S38" i="1"/>
  <c r="R38" i="1"/>
  <c r="Q38" i="1"/>
  <c r="P38" i="1"/>
  <c r="T37" i="1"/>
  <c r="S37" i="1"/>
  <c r="R37" i="1"/>
  <c r="Q37" i="1"/>
  <c r="P37" i="1"/>
  <c r="T36" i="1"/>
  <c r="S36" i="1"/>
  <c r="R36" i="1"/>
  <c r="Q36" i="1"/>
  <c r="P36" i="1"/>
  <c r="T35" i="1"/>
  <c r="S35" i="1"/>
  <c r="R35" i="1"/>
  <c r="Q35" i="1"/>
  <c r="P35" i="1"/>
  <c r="T34" i="1"/>
  <c r="S34" i="1"/>
  <c r="R34" i="1"/>
  <c r="Q34" i="1"/>
  <c r="P34" i="1"/>
  <c r="T33" i="1"/>
  <c r="S33" i="1"/>
  <c r="R33" i="1"/>
  <c r="Q33" i="1"/>
  <c r="P33" i="1"/>
  <c r="T32" i="1"/>
  <c r="S32" i="1"/>
  <c r="R32" i="1"/>
  <c r="Q32" i="1"/>
  <c r="P32" i="1"/>
  <c r="T31" i="1"/>
  <c r="S31" i="1"/>
  <c r="R31" i="1"/>
  <c r="Q31" i="1"/>
  <c r="P31" i="1"/>
  <c r="T30" i="1"/>
  <c r="S30" i="1"/>
  <c r="R30" i="1"/>
  <c r="Q30" i="1"/>
  <c r="P30" i="1"/>
  <c r="T29" i="1"/>
  <c r="S29" i="1"/>
  <c r="R29" i="1"/>
  <c r="Q29" i="1"/>
  <c r="P29" i="1"/>
  <c r="T28" i="1"/>
  <c r="S28" i="1"/>
  <c r="R28" i="1"/>
  <c r="Q28" i="1"/>
  <c r="P28" i="1"/>
  <c r="T27" i="1"/>
  <c r="S27" i="1"/>
  <c r="R27" i="1"/>
  <c r="Q27" i="1"/>
  <c r="P27" i="1"/>
  <c r="T26" i="1"/>
  <c r="S26" i="1"/>
  <c r="R26" i="1"/>
  <c r="Q26" i="1"/>
  <c r="P26" i="1"/>
  <c r="T25" i="1"/>
  <c r="S25" i="1"/>
  <c r="R25" i="1"/>
  <c r="Q25" i="1"/>
  <c r="P25" i="1"/>
  <c r="T24" i="1"/>
  <c r="S24" i="1"/>
  <c r="R24" i="1"/>
  <c r="Q24" i="1"/>
  <c r="P24" i="1"/>
  <c r="T23" i="1"/>
  <c r="S23" i="1"/>
  <c r="R23" i="1"/>
  <c r="Q23" i="1"/>
  <c r="P23" i="1"/>
  <c r="T22" i="1"/>
  <c r="S22" i="1"/>
  <c r="R22" i="1"/>
  <c r="Q22" i="1"/>
  <c r="P22" i="1"/>
  <c r="T21" i="1"/>
  <c r="S21" i="1"/>
  <c r="R21" i="1"/>
  <c r="Q21" i="1"/>
  <c r="P21" i="1"/>
  <c r="T20" i="1"/>
  <c r="S20" i="1"/>
  <c r="R20" i="1"/>
  <c r="Q20" i="1"/>
  <c r="P20" i="1"/>
  <c r="T19" i="1"/>
  <c r="S19" i="1"/>
  <c r="R19" i="1"/>
  <c r="Q19" i="1"/>
  <c r="P19" i="1"/>
  <c r="T18" i="1"/>
  <c r="S18" i="1"/>
  <c r="R18" i="1"/>
  <c r="Q18" i="1"/>
  <c r="P18" i="1"/>
  <c r="T17" i="1"/>
  <c r="S17" i="1"/>
  <c r="R17" i="1"/>
  <c r="Q17" i="1"/>
  <c r="P17" i="1"/>
  <c r="T16" i="1"/>
  <c r="S16" i="1"/>
  <c r="R16" i="1"/>
  <c r="Q16" i="1"/>
  <c r="P16" i="1"/>
  <c r="T15" i="1"/>
  <c r="S15" i="1"/>
  <c r="R15" i="1"/>
  <c r="Q15" i="1"/>
  <c r="P15" i="1"/>
  <c r="T14" i="1"/>
  <c r="S14" i="1"/>
  <c r="R14" i="1"/>
  <c r="Q14" i="1"/>
  <c r="P14" i="1"/>
  <c r="T13" i="1"/>
  <c r="S13" i="1"/>
  <c r="R13" i="1"/>
  <c r="Q13" i="1"/>
  <c r="P13" i="1"/>
  <c r="T12" i="1"/>
  <c r="S12" i="1"/>
  <c r="R12" i="1"/>
  <c r="Q12" i="1"/>
  <c r="P12" i="1"/>
  <c r="T11" i="1"/>
  <c r="S11" i="1"/>
  <c r="R11" i="1"/>
  <c r="Q11" i="1"/>
  <c r="P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<sst xmlns="http://schemas.openxmlformats.org/spreadsheetml/2006/main" count="299" uniqueCount="260">
  <si>
    <t>NOVIGRAD INŽENJERING d.o.o.</t>
  </si>
  <si>
    <t>GRAD</t>
  </si>
  <si>
    <t>OIB</t>
  </si>
  <si>
    <t>PDV ID BROJ</t>
  </si>
  <si>
    <t>KAMEN PAZIN</t>
  </si>
  <si>
    <t>52000 Pazin</t>
  </si>
  <si>
    <t>STR.</t>
  </si>
  <si>
    <t>MATERIJAL I OBRADA:</t>
  </si>
  <si>
    <t>KOM</t>
  </si>
  <si>
    <t>OBRADA</t>
  </si>
  <si>
    <t>DUŽINA</t>
  </si>
  <si>
    <t>ŠIRINA</t>
  </si>
  <si>
    <t>M 2</t>
  </si>
  <si>
    <t>M 1</t>
  </si>
  <si>
    <t>DEB.</t>
  </si>
  <si>
    <t>KG</t>
  </si>
  <si>
    <t>M2</t>
  </si>
  <si>
    <t>M 3</t>
  </si>
  <si>
    <t>PZ</t>
  </si>
  <si>
    <t>O</t>
  </si>
  <si>
    <t>P</t>
  </si>
  <si>
    <t>R</t>
  </si>
  <si>
    <t>OBRADA:</t>
  </si>
  <si>
    <t>PAKIRANJE:</t>
  </si>
  <si>
    <t>NARUDŽBA:</t>
  </si>
  <si>
    <t>ISPORUKA:</t>
  </si>
  <si>
    <t>OPIS</t>
  </si>
  <si>
    <t>UKUPNO</t>
  </si>
  <si>
    <t>BESIM</t>
  </si>
  <si>
    <t xml:space="preserve">    UKUPNO KOMADA PODIJELJENO       </t>
  </si>
  <si>
    <t>REZ:</t>
  </si>
  <si>
    <r>
      <t xml:space="preserve">M 2
</t>
    </r>
    <r>
      <rPr>
        <b/>
        <sz val="12"/>
        <color rgb="FFFF0000"/>
        <rFont val="Calibri Light"/>
        <family val="2"/>
        <scheme val="major"/>
      </rPr>
      <t>TOT</t>
    </r>
  </si>
  <si>
    <r>
      <t xml:space="preserve">M 3
</t>
    </r>
    <r>
      <rPr>
        <b/>
        <sz val="12"/>
        <color rgb="FFFF0000"/>
        <rFont val="Calibri Light"/>
        <family val="2"/>
        <scheme val="major"/>
      </rPr>
      <t>TOT</t>
    </r>
  </si>
  <si>
    <t>RN.BR.</t>
  </si>
  <si>
    <t>IZ KOM</t>
  </si>
  <si>
    <t>Obrt za rezanje, oblikovanje i obradu kamena, Hrast, vl. Zvonko Hrastić</t>
  </si>
  <si>
    <t>tel.:</t>
  </si>
  <si>
    <t>+385 (0)91 110 10 24</t>
  </si>
  <si>
    <t>mail:</t>
  </si>
  <si>
    <t>info@klesarija-hrast.com</t>
  </si>
  <si>
    <t>IBAN</t>
  </si>
  <si>
    <t xml:space="preserve">HR3524020061100144201     </t>
  </si>
  <si>
    <t>KUPAC</t>
  </si>
  <si>
    <t>naziv/ime i prezime:</t>
  </si>
  <si>
    <t>OIB:</t>
  </si>
  <si>
    <t>adresa:</t>
  </si>
  <si>
    <t>Otpremnica br.</t>
  </si>
  <si>
    <t>Datum:</t>
  </si>
  <si>
    <t>Rok otpreme:</t>
  </si>
  <si>
    <t>Način otpreme:</t>
  </si>
  <si>
    <t>REDNI BROJ</t>
  </si>
  <si>
    <t>MATERIJAL</t>
  </si>
  <si>
    <t>JM</t>
  </si>
  <si>
    <t>KOLIČINA</t>
  </si>
  <si>
    <t>M 2
TOT</t>
  </si>
  <si>
    <t>ŠIFRA KUPCA:</t>
  </si>
  <si>
    <t>IME KUPCA:</t>
  </si>
  <si>
    <t>ADRESA:</t>
  </si>
  <si>
    <t>SKRAĆENICA / SINONINM</t>
  </si>
  <si>
    <t>KAMEN DD</t>
  </si>
  <si>
    <t>TRG SLOBODE 2</t>
  </si>
  <si>
    <t>52 000 PAZIN</t>
  </si>
  <si>
    <t>05937912798</t>
  </si>
  <si>
    <t>STANCIJA VINJERI 24 E</t>
  </si>
  <si>
    <t>52 466 NOVIGRAD</t>
  </si>
  <si>
    <t>04153678123</t>
  </si>
  <si>
    <t>NOV INŽ, PONJO, MATO</t>
  </si>
  <si>
    <t>VITALIS  D.O.O.</t>
  </si>
  <si>
    <t>LADROVIĆI 29</t>
  </si>
  <si>
    <t>52 440 POREČ</t>
  </si>
  <si>
    <t>ANDREA MATUKINA</t>
  </si>
  <si>
    <t>PROJECT I.M. 2000 D.O.O.</t>
  </si>
  <si>
    <t>RADOŠI KOD ŽBANDAJA 17</t>
  </si>
  <si>
    <t>CASA IN</t>
  </si>
  <si>
    <t>PLIMA  D.O.O.</t>
  </si>
  <si>
    <t>VUKOVARSKA 19</t>
  </si>
  <si>
    <t>09124339194</t>
  </si>
  <si>
    <t>PLIMA</t>
  </si>
  <si>
    <t>ARTE INTERIJERI D.O.O.</t>
  </si>
  <si>
    <t>CEROVLJE 64 A</t>
  </si>
  <si>
    <t>52 402 CEROVLJE</t>
  </si>
  <si>
    <t xml:space="preserve">ARTE </t>
  </si>
  <si>
    <t>FABER - ZORKO D.O.O.</t>
  </si>
  <si>
    <t>VALICA 31K</t>
  </si>
  <si>
    <t>52 470 UMAG</t>
  </si>
  <si>
    <t>FABER</t>
  </si>
  <si>
    <t>BESO KAMEN obrt za završne građ.radove</t>
  </si>
  <si>
    <t>MIHATOVIĆI 26</t>
  </si>
  <si>
    <t>KLANJAC D.O.O.</t>
  </si>
  <si>
    <t>ŠKROPETI 25 N</t>
  </si>
  <si>
    <t>52 423 KAROJBA</t>
  </si>
  <si>
    <t>KLANJAC</t>
  </si>
  <si>
    <t>GASTRO TIM D.O.O.</t>
  </si>
  <si>
    <t>ŠIME KURELIĆA 20/3</t>
  </si>
  <si>
    <t>GASTRO TIM</t>
  </si>
  <si>
    <t>FUSIO D.O.O.</t>
  </si>
  <si>
    <t>BUIĆI 60</t>
  </si>
  <si>
    <t>FUSIO</t>
  </si>
  <si>
    <t>INTERNOVA D.O.O.</t>
  </si>
  <si>
    <t>INDUSTRIJSKA ULICA 19</t>
  </si>
  <si>
    <t>INTERNOVA</t>
  </si>
  <si>
    <t>VJEVERICA D.O.O.</t>
  </si>
  <si>
    <t>MATIJE VLAČIĆA 68</t>
  </si>
  <si>
    <t>52 212 FAŽANA</t>
  </si>
  <si>
    <t>BORIS RUŽIĆ d.o.o.</t>
  </si>
  <si>
    <t>Radetići 71</t>
  </si>
  <si>
    <t>52 444 Tinjan</t>
  </si>
  <si>
    <t>BORIS RUŽIĆ</t>
  </si>
  <si>
    <t>DIFFERENT REAL ESTATE d.o.o.</t>
  </si>
  <si>
    <t>Prćavac 10a</t>
  </si>
  <si>
    <t>51 260 Crikvenica</t>
  </si>
  <si>
    <t>ARMINAN d.o.o.</t>
  </si>
  <si>
    <t>Nove Fužine 45</t>
  </si>
  <si>
    <t>1000 Ljubljana, Slovenia</t>
  </si>
  <si>
    <t>SI55097138</t>
  </si>
  <si>
    <t>PLAN GAŠPARINI d.o.o.</t>
  </si>
  <si>
    <t>Diklići 5</t>
  </si>
  <si>
    <t>52 463 Višnjan</t>
  </si>
  <si>
    <t>PLAN GAŠPARINI</t>
  </si>
  <si>
    <t>F.A.N. INTERIJERI d.o.o.</t>
  </si>
  <si>
    <t>Hrastova 3</t>
  </si>
  <si>
    <t>52 440 Poreč</t>
  </si>
  <si>
    <t>HP TURIST d.o.o.</t>
  </si>
  <si>
    <t>Torči 14</t>
  </si>
  <si>
    <t>52 466 Novigrad</t>
  </si>
  <si>
    <t>TERRA d.o.o.</t>
  </si>
  <si>
    <t>Vinogradska ulica 17</t>
  </si>
  <si>
    <t>52 470 Umag</t>
  </si>
  <si>
    <t>LOVREČIĆ BAU d.o.o.</t>
  </si>
  <si>
    <t>Lovrečići 23</t>
  </si>
  <si>
    <t>MRAMOR TONČO j.d.o.o.</t>
  </si>
  <si>
    <t>Pilati 90b</t>
  </si>
  <si>
    <t>52 423 Novaki Motovunski</t>
  </si>
  <si>
    <t>MC - MEDICOR d.d.</t>
  </si>
  <si>
    <t>Tibilisijska 81</t>
  </si>
  <si>
    <t>SI89062566</t>
  </si>
  <si>
    <t>MEDICOR</t>
  </si>
  <si>
    <t>ISTRA - BAU d.o.o.</t>
  </si>
  <si>
    <t>Trg Slobode 2</t>
  </si>
  <si>
    <t>52 000 Pazin</t>
  </si>
  <si>
    <t>ISTRA BAU</t>
  </si>
  <si>
    <t>ERICA TURIZAM d.o.o.</t>
  </si>
  <si>
    <t>Zagorska 16</t>
  </si>
  <si>
    <t>SENKA BJELICA</t>
  </si>
  <si>
    <t>43. Istarske Divizije 3</t>
  </si>
  <si>
    <t>INFINITY LUXURY d.o.o.</t>
  </si>
  <si>
    <t>Stancija Pataj 52a</t>
  </si>
  <si>
    <t>SAXUM d.o.o.</t>
  </si>
  <si>
    <t>Rade Končara 11</t>
  </si>
  <si>
    <t>MAGNUS LEADER d.o.o.</t>
  </si>
  <si>
    <t>Glagoljaša 18</t>
  </si>
  <si>
    <t>52440 Poreč</t>
  </si>
  <si>
    <t>DARKO GRAHOVAC</t>
  </si>
  <si>
    <t>ISTRAKOP d.o.o.</t>
  </si>
  <si>
    <t>Partizanska 4/1</t>
  </si>
  <si>
    <t>ISTRAKOP, BRANKO KOVAČIĆ</t>
  </si>
  <si>
    <t>SKELA GRADNJA d.o.o.</t>
  </si>
  <si>
    <t>SABAHUDIN</t>
  </si>
  <si>
    <t>FORMARMO d.o.o.</t>
  </si>
  <si>
    <t>Štrmac 101</t>
  </si>
  <si>
    <t>52 220 Labin</t>
  </si>
  <si>
    <t>PALIMA d.o.o.</t>
  </si>
  <si>
    <t>Nespeš 23/1</t>
  </si>
  <si>
    <t>10 382 Donja Zelina</t>
  </si>
  <si>
    <t>J&amp;V TOURISM d.o.o.</t>
  </si>
  <si>
    <t>A. Ferri 44</t>
  </si>
  <si>
    <t>52 210 Rovinj</t>
  </si>
  <si>
    <t>JANEZ BIDOVEC</t>
  </si>
  <si>
    <t>HOSS d.o.o.</t>
  </si>
  <si>
    <t>Radnička cesta 54</t>
  </si>
  <si>
    <t>10 000 Zagreb</t>
  </si>
  <si>
    <t>LUXURY HOUSE ESTATE23 d.o.o.</t>
  </si>
  <si>
    <t>Davor 5</t>
  </si>
  <si>
    <t>09039820783</t>
  </si>
  <si>
    <t>HRVOJE BALENT</t>
  </si>
  <si>
    <t>NENAD BJELICA</t>
  </si>
  <si>
    <t>STOLARSKO ZANATSKA RADNJA, STOLARSKI OBRT, VL. MIRJANA LISAK</t>
  </si>
  <si>
    <t>Golubovečko naselje 33</t>
  </si>
  <si>
    <t>49 240 Donja Stubica</t>
  </si>
  <si>
    <t>MEĐIMURJE GRADITELJSTVO d.o.o.</t>
  </si>
  <si>
    <t>Zagrebačka 42a</t>
  </si>
  <si>
    <t>40 000 Čakovec</t>
  </si>
  <si>
    <t>INGRAD građevinski obrt vl. Mato Olujić</t>
  </si>
  <si>
    <t>Sveti Vidal 3</t>
  </si>
  <si>
    <t>VLADIMIR GORTAN d.d.</t>
  </si>
  <si>
    <t>Dinka Trinajstića 10</t>
  </si>
  <si>
    <t>STANCA d.o.o.</t>
  </si>
  <si>
    <t>Iva Marinkovića 10</t>
  </si>
  <si>
    <t>Rijeka</t>
  </si>
  <si>
    <t>TITUS GROUP d.o.o.</t>
  </si>
  <si>
    <t>Munte 100, Premantura</t>
  </si>
  <si>
    <t>52100 Pula</t>
  </si>
  <si>
    <t xml:space="preserve"> I. STANCIJE d.o.o.</t>
  </si>
  <si>
    <t>Poldrugovci 24 A</t>
  </si>
  <si>
    <t>Škopljak</t>
  </si>
  <si>
    <t xml:space="preserve">08422055693 </t>
  </si>
  <si>
    <t>SALE</t>
  </si>
  <si>
    <t>D.N.K. KAMEN j.d.o.o.</t>
  </si>
  <si>
    <t>Mihatovići 17 B</t>
  </si>
  <si>
    <t>DEJAN NAĐ</t>
  </si>
  <si>
    <t>51211 Jurdani</t>
  </si>
  <si>
    <t>LARIX VILLAS d.o.o.</t>
  </si>
  <si>
    <t>Novigradska ulica 35</t>
  </si>
  <si>
    <t>52470 Umag</t>
  </si>
  <si>
    <t>DANIJEL CONJER</t>
  </si>
  <si>
    <t>MRAK WORLD d.o.o.</t>
  </si>
  <si>
    <t>Josipa Voltića 23</t>
  </si>
  <si>
    <t>MARTINOVKA d.o.o.</t>
  </si>
  <si>
    <t>Škropeti 39</t>
  </si>
  <si>
    <t>52424 Motovun</t>
  </si>
  <si>
    <t>ROBI ŠKROPETA</t>
  </si>
  <si>
    <t>X</t>
  </si>
  <si>
    <t>USLUŽNI OBRT PANEL</t>
  </si>
  <si>
    <t>Kolombera 9</t>
  </si>
  <si>
    <t>52463 Višnjan</t>
  </si>
  <si>
    <t>VLADIMIR RAJKO</t>
  </si>
  <si>
    <t>03962726290</t>
  </si>
  <si>
    <t>STEFANO LADAVAC/ FIRMA VIŠE NE POSTOJI</t>
  </si>
  <si>
    <t>KORTA GROUP d.o.o.</t>
  </si>
  <si>
    <t>Brajkovići 29B</t>
  </si>
  <si>
    <t>SANDRO LADAVAC</t>
  </si>
  <si>
    <t>1 - 1</t>
  </si>
  <si>
    <t>ARIMER D.O.O</t>
  </si>
  <si>
    <t>Buzetska ulica 1</t>
  </si>
  <si>
    <t>MAT. I OBRADA:</t>
  </si>
  <si>
    <t>BILJEŠKA:</t>
  </si>
  <si>
    <t>PLOHA:</t>
  </si>
  <si>
    <t>I GROTA</t>
  </si>
  <si>
    <t>Ivetići 75</t>
  </si>
  <si>
    <t>52440 Tinjan</t>
  </si>
  <si>
    <t>SAMANTA</t>
  </si>
  <si>
    <t>FACILITY MANAGMENT D.O.O.</t>
  </si>
  <si>
    <t>Fažanska Cesta 34B</t>
  </si>
  <si>
    <t>33365670519</t>
  </si>
  <si>
    <t>MARIO FUNČIĆ</t>
  </si>
  <si>
    <t>VEDRAS D.O.O.</t>
  </si>
  <si>
    <t xml:space="preserve">Most Pićan 108 </t>
  </si>
  <si>
    <t>52332 Pićan</t>
  </si>
  <si>
    <t>DANIEL SMOKOVIĆ</t>
  </si>
  <si>
    <t>MRAMOR COMERCE d.o.o.</t>
  </si>
  <si>
    <t>ZORAN MLADENIĆ</t>
  </si>
  <si>
    <t>Mučići 31B</t>
  </si>
  <si>
    <t>07639169064</t>
  </si>
  <si>
    <t>ŠKRILJA, Obrt za postavljanje podnih i zidnih obloga vl. Ivan Levak</t>
  </si>
  <si>
    <t>Pino Budičin 5</t>
  </si>
  <si>
    <t>IVAN LEVAK</t>
  </si>
  <si>
    <t>OBJEKT</t>
  </si>
  <si>
    <t>PROIZVOD</t>
  </si>
  <si>
    <t>MORACULI j.d.o.o.</t>
  </si>
  <si>
    <t>Čakovečka ulica 54</t>
  </si>
  <si>
    <t>40305 Pušćine</t>
  </si>
  <si>
    <t>RAŠO - PAOLIJA</t>
  </si>
  <si>
    <t>LUXURY PROJEKT D.O.O.</t>
  </si>
  <si>
    <t>Bukovački vijenac 10</t>
  </si>
  <si>
    <t>10000 Zagreb</t>
  </si>
  <si>
    <t>ZVONIMIR ČAČIĆ</t>
  </si>
  <si>
    <t>BADEN METAL d.o.o</t>
  </si>
  <si>
    <t>Marinići 27a</t>
  </si>
  <si>
    <t>51216 Viškovo</t>
  </si>
  <si>
    <t>ANTONIO ŠUŠNJA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</si>
</sst>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kn&quot;_-;\-* #,##0.00\ &quot;kn&quot;_-;_-* &quot;-&quot;??\ &quot;kn&quot;_-;_-@_-"/>
    <numFmt numFmtId="43" formatCode="_-* #,##0.00_-;\-* #,##0.00_-;_-* &quot;-&quot;??_-;_-@_-"/>
    <numFmt numFmtId="164" formatCode="dd/mm/yy/;@"/>
    <numFmt numFmtId="165" formatCode="_-* #,##0.00\ [$€-1]_-;\-* #,##0.00\ [$€-1]_-;_-* &quot;-&quot;??\ [$€-1]_-;_-@_-"/>
    <numFmt numFmtId="166" formatCode="_-* #,##0\ [$€-1]_-;\-* #,##0\ [$€-1]_-;_-* &quot;-&quot;??\ [$€-1]_-;_-@_-"/>
  </numFmts>
  <fonts count="74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6"/>
      <color theme="1"/>
      <name val="Calibri"/>
      <family val="2"/>
      <charset val="238"/>
      <scheme val="minor"/>
    </font>
    <font>
      <b/>
      <sz val="14"/>
      <color theme="1"/>
      <name val="Calibri Light"/>
      <family val="2"/>
      <charset val="238"/>
      <scheme val="major"/>
    </font>
    <font>
      <b/>
      <sz val="12"/>
      <color theme="1"/>
      <name val="Calibri Light"/>
      <family val="2"/>
      <charset val="238"/>
      <scheme val="major"/>
    </font>
    <font>
      <b/>
      <sz val="18"/>
      <color theme="1"/>
      <name val="Calibri Light"/>
      <family val="2"/>
      <charset val="238"/>
      <scheme val="major"/>
    </font>
    <font>
      <b/>
      <sz val="18"/>
      <color theme="1"/>
      <name val="Calibri"/>
      <family val="2"/>
      <charset val="238"/>
      <scheme val="minor"/>
    </font>
    <font>
      <sz val="14"/>
      <color rgb="FFFF0000"/>
      <name val="Calibri"/>
      <family val="2"/>
      <charset val="238"/>
      <scheme val="minor"/>
    </font>
    <font>
      <b/>
      <sz val="16"/>
      <color theme="1"/>
      <name val="Calibri Light"/>
      <family val="2"/>
      <scheme val="major"/>
    </font>
    <font>
      <sz val="15"/>
      <color theme="1"/>
      <name val="Calibri"/>
      <family val="2"/>
      <charset val="238"/>
      <scheme val="minor"/>
    </font>
    <font>
      <sz val="15"/>
      <color theme="1"/>
      <name val="Calibri Light"/>
      <family val="2"/>
      <scheme val="maj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6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20"/>
      <color rgb="FFFF0000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24"/>
      <color theme="1"/>
      <name val="Calibri Light"/>
      <family val="2"/>
      <scheme val="major"/>
    </font>
    <font>
      <b/>
      <sz val="14"/>
      <color rgb="FF000000"/>
      <name val="Calibri Light"/>
      <family val="2"/>
      <scheme val="major"/>
    </font>
    <font>
      <b/>
      <sz val="14"/>
      <color theme="5"/>
      <name val="Calibri Light"/>
      <family val="2"/>
      <scheme val="major"/>
    </font>
    <font>
      <b/>
      <sz val="20"/>
      <color rgb="FF0070C0"/>
      <name val="Calibri Light"/>
      <family val="2"/>
      <scheme val="major"/>
    </font>
    <font>
      <b/>
      <sz val="18"/>
      <color rgb="FF0070C0"/>
      <name val="Calibri Light"/>
      <family val="2"/>
      <scheme val="major"/>
    </font>
    <font>
      <i/>
      <sz val="14"/>
      <color theme="1"/>
      <name val="Calibri Light"/>
      <family val="2"/>
      <scheme val="major"/>
    </font>
    <font>
      <sz val="8"/>
      <name val="Calibri"/>
      <family val="2"/>
      <charset val="238"/>
      <scheme val="minor"/>
    </font>
    <font>
      <b/>
      <i/>
      <sz val="12"/>
      <color rgb="FFFF0000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sz val="14"/>
      <name val="Calibri"/>
      <family val="2"/>
      <charset val="238"/>
      <scheme val="minor"/>
    </font>
    <font>
      <b/>
      <sz val="15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5"/>
      <name val="Calibri Light"/>
      <family val="2"/>
      <scheme val="major"/>
    </font>
    <font>
      <b/>
      <sz val="15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20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1"/>
      <color theme="0"/>
      <name val="Calibri"/>
      <family val="2"/>
      <charset val="238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b/>
      <sz val="10"/>
      <color theme="1"/>
      <name val="Calibri Light"/>
      <family val="2"/>
      <charset val="238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charset val="238"/>
      <scheme val="minor"/>
    </font>
    <font>
      <b/>
      <sz val="16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sz val="14"/>
      <color rgb="FFEE0000"/>
      <name val="Calibri"/>
      <family val="2"/>
      <scheme val="minor"/>
    </font>
    <font>
      <sz val="24"/>
      <color theme="1"/>
      <name val="Calibri Light"/>
      <family val="2"/>
      <scheme val="major"/>
    </font>
    <font>
      <sz val="20"/>
      <name val="Calibri Light"/>
      <family val="2"/>
      <scheme val="major"/>
    </font>
    <font>
      <b/>
      <sz val="22"/>
      <color theme="1"/>
      <name val="Calibri"/>
      <family val="2"/>
      <charset val="238"/>
      <scheme val="minor"/>
    </font>
    <font>
      <sz val="14"/>
      <name val="Calibri"/>
      <family val="2"/>
      <charset val="238"/>
    </font>
    <font>
      <i/>
      <sz val="14"/>
      <name val="Calibri"/>
      <family val="2"/>
      <charset val="238"/>
    </font>
    <font>
      <sz val="11"/>
      <name val="Calibri"/>
      <family val="2"/>
      <charset val="238"/>
    </font>
    <font>
      <sz val="14"/>
      <color rgb="FFFF0000"/>
      <name val="Calibri"/>
      <family val="2"/>
      <scheme val="minor"/>
    </font>
    <font>
      <b/>
      <sz val="24"/>
      <color theme="1"/>
      <name val="Calibri Light"/>
      <family val="2"/>
      <charset val="238"/>
      <scheme val="major"/>
    </font>
    <font>
      <b/>
      <sz val="24"/>
      <color rgb="FFFF0000"/>
      <name val="Calibri Light"/>
      <family val="2"/>
      <charset val="238"/>
      <scheme val="major"/>
    </font>
    <font>
      <b/>
      <sz val="24"/>
      <name val="Calibri Light"/>
      <family val="2"/>
      <charset val="238"/>
      <scheme val="major"/>
    </font>
    <font>
      <b/>
      <sz val="24"/>
      <color theme="1"/>
      <name val="Calibri"/>
      <family val="2"/>
      <charset val="238"/>
      <scheme val="minor"/>
    </font>
    <font>
      <sz val="14"/>
      <color rgb="FF202849"/>
      <name val="Calibri"/>
      <family val="2"/>
      <scheme val="minor"/>
    </font>
    <font>
      <sz val="14"/>
      <color rgb="FFFF000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auto="1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/>
      <bottom/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/>
      <top style="hair">
        <color rgb="FF000000"/>
      </top>
      <bottom style="thin">
        <color indexed="64"/>
      </bottom>
      <diagonal/>
    </border>
    <border>
      <left/>
      <right style="hair">
        <color auto="1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/>
      <diagonal/>
    </border>
    <border>
      <left style="hair">
        <color auto="1"/>
      </left>
      <right style="hair">
        <color rgb="FF000000"/>
      </right>
      <top style="thin">
        <color auto="1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auto="1"/>
      </top>
      <bottom style="hair">
        <color indexed="64"/>
      </bottom>
      <diagonal/>
    </border>
    <border>
      <left style="hair">
        <color rgb="FF000000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rgb="FF000000"/>
      </right>
      <top/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37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/>
    </xf>
    <xf numFmtId="2" fontId="8" fillId="0" borderId="2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13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1" fontId="13" fillId="0" borderId="0" xfId="0" applyNumberFormat="1" applyFont="1"/>
    <xf numFmtId="1" fontId="3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49" fontId="25" fillId="0" borderId="1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14" fillId="0" borderId="0" xfId="0" applyNumberFormat="1" applyFont="1" applyAlignment="1">
      <alignment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47" fillId="2" borderId="2" xfId="0" applyFont="1" applyFill="1" applyBorder="1" applyAlignment="1">
      <alignment horizontal="center" vertical="center" wrapText="1"/>
    </xf>
    <xf numFmtId="0" fontId="48" fillId="0" borderId="0" xfId="0" applyFont="1"/>
    <xf numFmtId="0" fontId="5" fillId="0" borderId="5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vertical="center"/>
    </xf>
    <xf numFmtId="0" fontId="0" fillId="0" borderId="2" xfId="0" applyBorder="1"/>
    <xf numFmtId="0" fontId="5" fillId="2" borderId="2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9" xfId="0" applyBorder="1"/>
    <xf numFmtId="0" fontId="53" fillId="2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/>
    <xf numFmtId="0" fontId="54" fillId="3" borderId="0" xfId="0" applyFont="1" applyFill="1" applyAlignment="1">
      <alignment horizontal="left" vertical="center"/>
    </xf>
    <xf numFmtId="0" fontId="49" fillId="3" borderId="0" xfId="0" applyFont="1" applyFill="1"/>
    <xf numFmtId="0" fontId="34" fillId="3" borderId="0" xfId="0" applyFont="1" applyFill="1"/>
    <xf numFmtId="0" fontId="54" fillId="3" borderId="0" xfId="0" applyFont="1" applyFill="1"/>
    <xf numFmtId="0" fontId="0" fillId="0" borderId="0" xfId="0" applyAlignment="1">
      <alignment horizontal="left" vertical="center"/>
    </xf>
    <xf numFmtId="0" fontId="49" fillId="0" borderId="0" xfId="0" applyFont="1"/>
    <xf numFmtId="0" fontId="55" fillId="0" borderId="0" xfId="0" applyFont="1"/>
    <xf numFmtId="49" fontId="55" fillId="0" borderId="0" xfId="0" applyNumberFormat="1" applyFont="1" applyAlignment="1">
      <alignment horizontal="left"/>
    </xf>
    <xf numFmtId="1" fontId="55" fillId="0" borderId="0" xfId="0" applyNumberFormat="1" applyFont="1" applyAlignment="1">
      <alignment horizontal="left"/>
    </xf>
    <xf numFmtId="0" fontId="5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9" fontId="56" fillId="0" borderId="0" xfId="0" applyNumberFormat="1" applyFont="1" applyAlignment="1">
      <alignment horizontal="left"/>
    </xf>
    <xf numFmtId="0" fontId="56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57" fillId="0" borderId="0" xfId="0" applyFont="1"/>
    <xf numFmtId="49" fontId="38" fillId="0" borderId="0" xfId="0" applyNumberFormat="1" applyFont="1" applyAlignment="1">
      <alignment horizontal="left"/>
    </xf>
    <xf numFmtId="49" fontId="57" fillId="0" borderId="0" xfId="0" applyNumberFormat="1" applyFont="1"/>
    <xf numFmtId="0" fontId="38" fillId="0" borderId="0" xfId="0" applyFont="1"/>
    <xf numFmtId="0" fontId="58" fillId="0" borderId="0" xfId="0" applyFont="1"/>
    <xf numFmtId="0" fontId="59" fillId="0" borderId="0" xfId="0" applyFont="1" applyAlignment="1">
      <alignment horizontal="left" vertical="center"/>
    </xf>
    <xf numFmtId="0" fontId="60" fillId="0" borderId="0" xfId="0" applyFont="1"/>
    <xf numFmtId="0" fontId="60" fillId="0" borderId="0" xfId="0" applyFont="1" applyAlignment="1">
      <alignment horizontal="left"/>
    </xf>
    <xf numFmtId="0" fontId="59" fillId="0" borderId="0" xfId="0" applyFont="1"/>
    <xf numFmtId="0" fontId="12" fillId="2" borderId="5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28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 vertical="center"/>
    </xf>
    <xf numFmtId="49" fontId="38" fillId="0" borderId="0" xfId="3" applyNumberFormat="1" applyFont="1" applyAlignment="1">
      <alignment horizontal="left"/>
    </xf>
    <xf numFmtId="0" fontId="68" fillId="4" borderId="0" xfId="0" applyFont="1" applyFill="1" applyAlignment="1">
      <alignment horizontal="center" vertical="center"/>
    </xf>
    <xf numFmtId="49" fontId="68" fillId="4" borderId="9" xfId="0" applyNumberFormat="1" applyFont="1" applyFill="1" applyBorder="1" applyAlignment="1">
      <alignment horizontal="center" vertical="center"/>
    </xf>
    <xf numFmtId="0" fontId="69" fillId="4" borderId="0" xfId="0" applyFont="1" applyFill="1" applyAlignment="1">
      <alignment horizontal="center" vertical="center"/>
    </xf>
    <xf numFmtId="0" fontId="68" fillId="4" borderId="9" xfId="0" applyFont="1" applyFill="1" applyBorder="1" applyAlignment="1">
      <alignment horizontal="center" vertical="center"/>
    </xf>
    <xf numFmtId="0" fontId="70" fillId="4" borderId="0" xfId="0" applyFont="1" applyFill="1" applyAlignment="1">
      <alignment horizontal="center" vertical="center"/>
    </xf>
    <xf numFmtId="0" fontId="71" fillId="4" borderId="0" xfId="0" applyFont="1" applyFill="1"/>
    <xf numFmtId="1" fontId="68" fillId="4" borderId="0" xfId="0" applyNumberFormat="1" applyFont="1" applyFill="1" applyAlignment="1">
      <alignment horizontal="center" vertical="center"/>
    </xf>
    <xf numFmtId="0" fontId="64" fillId="0" borderId="35" xfId="0" applyFont="1" applyBorder="1" applyAlignment="1">
      <alignment horizontal="left" vertical="center"/>
    </xf>
    <xf numFmtId="0" fontId="0" fillId="0" borderId="15" xfId="0" applyBorder="1"/>
    <xf numFmtId="0" fontId="3" fillId="0" borderId="3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1" xfId="0" applyBorder="1"/>
    <xf numFmtId="0" fontId="72" fillId="0" borderId="0" xfId="0" applyFont="1" applyAlignment="1">
      <alignment horizontal="left"/>
    </xf>
    <xf numFmtId="0" fontId="3" fillId="0" borderId="2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49" fontId="25" fillId="0" borderId="4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1" fontId="64" fillId="0" borderId="47" xfId="0" applyNumberFormat="1" applyFont="1" applyBorder="1" applyAlignment="1">
      <alignment horizontal="center" vertical="center"/>
    </xf>
    <xf numFmtId="1" fontId="64" fillId="0" borderId="51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73" fillId="0" borderId="3" xfId="0" applyFont="1" applyBorder="1" applyAlignment="1">
      <alignment horizontal="center" vertical="center"/>
    </xf>
    <xf numFmtId="2" fontId="4" fillId="0" borderId="53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64" fillId="0" borderId="48" xfId="0" applyFont="1" applyBorder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49" fontId="25" fillId="0" borderId="32" xfId="0" applyNumberFormat="1" applyFont="1" applyBorder="1" applyAlignment="1">
      <alignment horizontal="center" vertical="center"/>
    </xf>
    <xf numFmtId="49" fontId="25" fillId="0" borderId="55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/>
    </xf>
    <xf numFmtId="0" fontId="0" fillId="0" borderId="3" xfId="0" applyBorder="1"/>
    <xf numFmtId="0" fontId="13" fillId="0" borderId="3" xfId="0" applyFont="1" applyBorder="1"/>
    <xf numFmtId="1" fontId="0" fillId="0" borderId="3" xfId="0" applyNumberFormat="1" applyBorder="1"/>
    <xf numFmtId="1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2" fontId="13" fillId="0" borderId="3" xfId="0" applyNumberFormat="1" applyFont="1" applyBorder="1"/>
    <xf numFmtId="1" fontId="5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14" fontId="33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center"/>
    </xf>
    <xf numFmtId="1" fontId="31" fillId="0" borderId="3" xfId="0" applyNumberFormat="1" applyFont="1" applyBorder="1" applyAlignment="1">
      <alignment horizontal="center" vertical="center"/>
    </xf>
    <xf numFmtId="2" fontId="30" fillId="0" borderId="3" xfId="0" applyNumberFormat="1" applyFont="1" applyBorder="1" applyAlignment="1">
      <alignment horizontal="center" vertical="center"/>
    </xf>
    <xf numFmtId="1" fontId="30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14" xfId="0" applyBorder="1"/>
    <xf numFmtId="0" fontId="6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9" fontId="6" fillId="0" borderId="3" xfId="0" applyNumberFormat="1" applyFont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0" fontId="0" fillId="0" borderId="3" xfId="0" applyBorder="1" applyAlignment="1">
      <alignment horizontal="left"/>
    </xf>
    <xf numFmtId="0" fontId="6" fillId="0" borderId="3" xfId="0" applyFont="1" applyBorder="1"/>
    <xf numFmtId="0" fontId="3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 wrapText="1"/>
    </xf>
    <xf numFmtId="0" fontId="2" fillId="0" borderId="3" xfId="0" applyFont="1" applyBorder="1"/>
    <xf numFmtId="0" fontId="33" fillId="0" borderId="3" xfId="0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32" fillId="0" borderId="3" xfId="0" applyFont="1" applyBorder="1"/>
    <xf numFmtId="0" fontId="42" fillId="0" borderId="3" xfId="0" applyFont="1" applyBorder="1"/>
    <xf numFmtId="1" fontId="6" fillId="0" borderId="3" xfId="1" applyNumberFormat="1" applyFont="1" applyFill="1" applyBorder="1" applyAlignment="1">
      <alignment horizontal="center" vertical="center"/>
    </xf>
    <xf numFmtId="1" fontId="14" fillId="0" borderId="3" xfId="0" applyNumberFormat="1" applyFont="1" applyBorder="1"/>
    <xf numFmtId="1" fontId="35" fillId="0" borderId="3" xfId="0" applyNumberFormat="1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1" fontId="13" fillId="0" borderId="3" xfId="0" applyNumberFormat="1" applyFont="1" applyBorder="1"/>
    <xf numFmtId="0" fontId="1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39" fillId="0" borderId="3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4" fontId="46" fillId="6" borderId="7" xfId="0" applyNumberFormat="1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0" fontId="46" fillId="6" borderId="1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0" fontId="61" fillId="0" borderId="8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1" fontId="43" fillId="0" borderId="3" xfId="0" applyNumberFormat="1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/>
    </xf>
    <xf numFmtId="0" fontId="46" fillId="0" borderId="8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2" fontId="3" fillId="7" borderId="5" xfId="0" applyNumberFormat="1" applyFont="1" applyFill="1" applyBorder="1" applyAlignment="1">
      <alignment horizontal="center" vertical="center"/>
    </xf>
    <xf numFmtId="2" fontId="3" fillId="7" borderId="8" xfId="0" applyNumberFormat="1" applyFont="1" applyFill="1" applyBorder="1" applyAlignment="1">
      <alignment horizontal="center" vertical="center"/>
    </xf>
    <xf numFmtId="2" fontId="3" fillId="7" borderId="6" xfId="0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55" fillId="0" borderId="14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65" fillId="0" borderId="4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5" fillId="0" borderId="52" xfId="0" applyFont="1" applyBorder="1" applyAlignment="1">
      <alignment horizontal="center" vertical="center"/>
    </xf>
    <xf numFmtId="0" fontId="67" fillId="0" borderId="50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65" fillId="0" borderId="49" xfId="0" applyFont="1" applyBorder="1" applyAlignment="1">
      <alignment horizontal="center" vertical="center"/>
    </xf>
    <xf numFmtId="0" fontId="66" fillId="0" borderId="50" xfId="0" applyFont="1" applyBorder="1"/>
    <xf numFmtId="0" fontId="65" fillId="0" borderId="42" xfId="0" applyFont="1" applyBorder="1" applyAlignment="1">
      <alignment horizontal="center" vertical="center"/>
    </xf>
    <xf numFmtId="0" fontId="65" fillId="0" borderId="43" xfId="0" applyFont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66" fontId="15" fillId="0" borderId="3" xfId="0" applyNumberFormat="1" applyFont="1" applyBorder="1" applyAlignment="1">
      <alignment horizontal="center"/>
    </xf>
    <xf numFmtId="0" fontId="15" fillId="0" borderId="3" xfId="0" applyFont="1" applyBorder="1"/>
    <xf numFmtId="0" fontId="12" fillId="5" borderId="16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4" fontId="62" fillId="5" borderId="16" xfId="0" applyNumberFormat="1" applyFont="1" applyFill="1" applyBorder="1" applyAlignment="1">
      <alignment horizontal="center" vertical="center"/>
    </xf>
    <xf numFmtId="0" fontId="62" fillId="5" borderId="4" xfId="0" applyFont="1" applyFill="1" applyBorder="1" applyAlignment="1">
      <alignment horizontal="center" vertical="center"/>
    </xf>
    <xf numFmtId="0" fontId="62" fillId="5" borderId="11" xfId="0" applyFont="1" applyFill="1" applyBorder="1" applyAlignment="1">
      <alignment horizontal="center" vertical="center"/>
    </xf>
    <xf numFmtId="0" fontId="62" fillId="5" borderId="7" xfId="0" applyFont="1" applyFill="1" applyBorder="1" applyAlignment="1">
      <alignment horizontal="center" vertical="center"/>
    </xf>
    <xf numFmtId="0" fontId="62" fillId="5" borderId="1" xfId="0" applyFont="1" applyFill="1" applyBorder="1" applyAlignment="1">
      <alignment horizontal="center" vertical="center"/>
    </xf>
    <xf numFmtId="0" fontId="62" fillId="5" borderId="12" xfId="0" applyFont="1" applyFill="1" applyBorder="1" applyAlignment="1">
      <alignment horizontal="center" vertical="center"/>
    </xf>
    <xf numFmtId="166" fontId="15" fillId="0" borderId="3" xfId="2" applyNumberFormat="1" applyFont="1" applyFill="1" applyBorder="1" applyAlignment="1">
      <alignment horizontal="center"/>
    </xf>
    <xf numFmtId="1" fontId="15" fillId="0" borderId="3" xfId="0" applyNumberFormat="1" applyFont="1" applyBorder="1" applyAlignment="1">
      <alignment horizontal="left" vertical="center"/>
    </xf>
    <xf numFmtId="1" fontId="41" fillId="0" borderId="3" xfId="0" applyNumberFormat="1" applyFont="1" applyBorder="1" applyAlignment="1">
      <alignment horizontal="left" vertical="center"/>
    </xf>
    <xf numFmtId="1" fontId="41" fillId="0" borderId="3" xfId="0" applyNumberFormat="1" applyFont="1" applyBorder="1" applyAlignment="1">
      <alignment vertical="center"/>
    </xf>
    <xf numFmtId="1" fontId="15" fillId="0" borderId="3" xfId="0" applyNumberFormat="1" applyFont="1" applyBorder="1" applyAlignment="1">
      <alignment vertical="center"/>
    </xf>
    <xf numFmtId="166" fontId="41" fillId="0" borderId="3" xfId="0" applyNumberFormat="1" applyFont="1" applyBorder="1" applyAlignment="1">
      <alignment horizont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14" fontId="45" fillId="6" borderId="20" xfId="0" applyNumberFormat="1" applyFont="1" applyFill="1" applyBorder="1" applyAlignment="1">
      <alignment horizontal="center" vertical="center"/>
    </xf>
    <xf numFmtId="0" fontId="45" fillId="6" borderId="19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55" fillId="0" borderId="25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" fontId="34" fillId="0" borderId="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wrapText="1"/>
    </xf>
    <xf numFmtId="0" fontId="63" fillId="0" borderId="16" xfId="0" applyFont="1" applyBorder="1" applyAlignment="1">
      <alignment horizontal="center" vertical="center" wrapText="1"/>
    </xf>
    <xf numFmtId="0" fontId="63" fillId="0" borderId="4" xfId="0" applyFont="1" applyBorder="1" applyAlignment="1">
      <alignment horizontal="center" vertical="center" wrapText="1"/>
    </xf>
    <xf numFmtId="0" fontId="63" fillId="0" borderId="7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63" fillId="0" borderId="11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2" fillId="0" borderId="16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62" fillId="0" borderId="11" xfId="0" applyFont="1" applyBorder="1" applyAlignment="1">
      <alignment horizontal="center" vertical="center" wrapText="1"/>
    </xf>
    <xf numFmtId="0" fontId="62" fillId="0" borderId="7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2" fillId="0" borderId="12" xfId="0" applyFont="1" applyBorder="1" applyAlignment="1">
      <alignment horizontal="center" vertical="center" wrapText="1"/>
    </xf>
    <xf numFmtId="166" fontId="15" fillId="0" borderId="3" xfId="0" applyNumberFormat="1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" fontId="15" fillId="0" borderId="3" xfId="0" applyNumberFormat="1" applyFont="1" applyBorder="1"/>
    <xf numFmtId="0" fontId="15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166" fontId="15" fillId="0" borderId="3" xfId="0" applyNumberFormat="1" applyFont="1" applyBorder="1" applyAlignment="1">
      <alignment horizontal="center" vertical="center"/>
    </xf>
    <xf numFmtId="166" fontId="41" fillId="0" borderId="3" xfId="0" applyNumberFormat="1" applyFont="1" applyBorder="1" applyAlignment="1">
      <alignment horizontal="center" vertical="center"/>
    </xf>
    <xf numFmtId="166" fontId="15" fillId="0" borderId="3" xfId="2" applyNumberFormat="1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49" fontId="12" fillId="0" borderId="3" xfId="3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/>
    </xf>
    <xf numFmtId="49" fontId="29" fillId="0" borderId="5" xfId="0" applyNumberFormat="1" applyFont="1" applyBorder="1" applyAlignment="1">
      <alignment horizontal="center" vertical="center"/>
    </xf>
    <xf numFmtId="49" fontId="29" fillId="0" borderId="6" xfId="0" applyNumberFormat="1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164" fontId="19" fillId="5" borderId="5" xfId="0" applyNumberFormat="1" applyFont="1" applyFill="1" applyBorder="1" applyAlignment="1">
      <alignment horizontal="center" vertical="center"/>
    </xf>
    <xf numFmtId="164" fontId="19" fillId="5" borderId="8" xfId="0" applyNumberFormat="1" applyFont="1" applyFill="1" applyBorder="1" applyAlignment="1">
      <alignment horizontal="center" vertical="center"/>
    </xf>
    <xf numFmtId="164" fontId="19" fillId="5" borderId="6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5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0" fillId="5" borderId="0" xfId="0" applyFont="1" applyFill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38" fillId="0" borderId="5" xfId="0" quotePrefix="1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52" fillId="0" borderId="5" xfId="4" applyFont="1" applyBorder="1" applyAlignment="1">
      <alignment horizontal="center"/>
    </xf>
    <xf numFmtId="0" fontId="38" fillId="0" borderId="5" xfId="0" applyFont="1" applyBorder="1" applyAlignment="1">
      <alignment horizontal="center"/>
    </xf>
  </cellXfs>
  <cellStyles count="5">
    <cellStyle name="Hiperveza" xfId="4" builtinId="8"/>
    <cellStyle name="Normalno" xfId="0" builtinId="0"/>
    <cellStyle name="Postotak" xfId="1" builtinId="5"/>
    <cellStyle name="Valuta" xfId="2" builtinId="4"/>
    <cellStyle name="Zarez" xfId="3" builtinId="3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FF"/>
      <color rgb="FFFF66FF"/>
      <color rgb="FF61FFA8"/>
      <color rgb="FFFF7C80"/>
      <color rgb="FFFF5050"/>
      <color rgb="FFFFFF66"/>
      <color rgb="FFFFFF99"/>
      <color rgb="FFF79109"/>
      <color rgb="FFF285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831365</xdr:colOff>
      <xdr:row>1</xdr:row>
      <xdr:rowOff>38598</xdr:rowOff>
    </xdr:from>
    <xdr:to>
      <xdr:col>3</xdr:col>
      <xdr:colOff>1993175</xdr:colOff>
      <xdr:row>4</xdr:row>
      <xdr:rowOff>226511</xdr:rowOff>
    </xdr:to>
    <xdr:pic>
      <xdr:nvPicPr>
        <xdr:cNvPr id="2" name="Slika 7">
          <a:extLst>
            <a:ext uri="{FF2B5EF4-FFF2-40B4-BE49-F238E27FC236}">
              <a16:creationId xmlns:a16="http://schemas.microsoft.com/office/drawing/2014/main" id="{5260990A-B698-49ED-8669-794A3F3D9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2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161000"/>
                  </a14:imgEffect>
                </a14:imgLayer>
              </a14:imgProps>
            </a:ext>
          </a:extLst>
        </a:blip>
        <a:srcRect r="4948" b="14018"/>
        <a:stretch/>
      </xdr:blipFill>
      <xdr:spPr>
        <a:xfrm>
          <a:off x="4307990" y="267198"/>
          <a:ext cx="1161810" cy="9499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klesarija-hra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T224"/>
  <sheetViews>
    <sheetView tabSelected="1" zoomScale="40" zoomScaleNormal="40" zoomScalePageLayoutView="40" workbookViewId="0">
      <selection activeCell="AD21" sqref="AD21"/>
    </sheetView>
  </sheetViews>
  <sheetFormatPr defaultRowHeight="14.25" x14ac:dyDescent="0.45"/>
  <cols>
    <col min="1" max="1" width="3" customWidth="1"/>
    <col min="2" max="2" width="5.796875" customWidth="1"/>
    <col min="3" max="4" width="3.33203125" customWidth="1"/>
    <col min="5" max="5" width="3.19921875" customWidth="1"/>
    <col min="6" max="6" width="3.33203125" customWidth="1"/>
    <col min="7" max="7" width="14.59765625" style="5" customWidth="1"/>
    <col min="8" max="8" width="7.9296875" bestFit="1" customWidth="1"/>
    <col min="9" max="9" width="7.06640625" bestFit="1" customWidth="1"/>
    <col min="10" max="10" width="5.53125" bestFit="1" customWidth="1"/>
    <col min="11" max="11" width="6.33203125" bestFit="1" customWidth="1"/>
    <col min="12" max="12" width="4" customWidth="1"/>
    <col min="13" max="13" width="7.9296875" customWidth="1"/>
    <col min="14" max="14" width="9.796875" customWidth="1"/>
    <col min="15" max="15" width="24.06640625" customWidth="1"/>
    <col min="16" max="16" width="7.53125" customWidth="1"/>
    <col min="17" max="17" width="7.59765625" bestFit="1" customWidth="1"/>
    <col min="18" max="18" width="8.19921875" bestFit="1" customWidth="1"/>
    <col min="19" max="19" width="6.59765625" customWidth="1"/>
    <col min="20" max="20" width="6.796875" bestFit="1" customWidth="1"/>
    <col min="21" max="21" width="4.59765625" customWidth="1"/>
    <col min="22" max="29" width="6.59765625" customWidth="1"/>
    <col min="30" max="30" width="7.19921875" bestFit="1" customWidth="1"/>
    <col min="31" max="39" width="6.59765625" customWidth="1"/>
    <col min="40" max="40" width="6.9296875" customWidth="1"/>
    <col min="41" max="49" width="7.06640625" customWidth="1"/>
    <col min="50" max="58" width="7.06640625" style="32" customWidth="1"/>
    <col min="59" max="59" width="4.59765625" style="32" customWidth="1"/>
    <col min="60" max="64" width="7.59765625" style="32" customWidth="1"/>
    <col min="65" max="96" width="7.59765625" customWidth="1"/>
    <col min="97" max="98" width="7.06640625" customWidth="1"/>
    <col min="103" max="103" width="9.06640625" customWidth="1"/>
  </cols>
  <sheetData>
    <row r="1" spans="1:124" ht="18.399999999999999" customHeight="1" x14ac:dyDescent="0.45">
      <c r="B1" s="129"/>
    </row>
    <row r="2" spans="1:124" ht="22.5" customHeight="1" x14ac:dyDescent="0.45">
      <c r="B2" s="340" t="s">
        <v>42</v>
      </c>
      <c r="C2" s="341"/>
      <c r="D2" s="341"/>
      <c r="E2" s="341"/>
      <c r="F2" s="341"/>
      <c r="G2" s="341"/>
      <c r="H2" s="341"/>
      <c r="I2" s="341"/>
      <c r="J2" s="341"/>
      <c r="K2" s="342"/>
      <c r="L2" s="340" t="s">
        <v>246</v>
      </c>
      <c r="M2" s="341"/>
      <c r="N2" s="342"/>
      <c r="O2" s="340" t="s">
        <v>247</v>
      </c>
      <c r="P2" s="341"/>
      <c r="Q2" s="341"/>
      <c r="R2" s="341"/>
      <c r="S2" s="341"/>
      <c r="T2" s="342"/>
      <c r="U2" s="59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5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  <c r="CJ2" s="155"/>
      <c r="CK2" s="155"/>
      <c r="CL2" s="155"/>
      <c r="CM2" s="155"/>
      <c r="CN2" s="155"/>
      <c r="CO2" s="155"/>
      <c r="CP2" s="155"/>
      <c r="CQ2" s="155"/>
      <c r="CR2" s="155"/>
      <c r="CS2" s="155"/>
      <c r="CT2" s="155"/>
      <c r="CU2" s="155"/>
      <c r="CV2" s="155"/>
      <c r="CW2" s="155"/>
      <c r="CX2" s="155"/>
      <c r="CY2" s="155"/>
      <c r="CZ2" s="155"/>
      <c r="DA2" s="155"/>
      <c r="DB2" s="155"/>
      <c r="DC2" s="155"/>
      <c r="DD2" s="155"/>
      <c r="DE2" s="155"/>
      <c r="DF2" s="155"/>
      <c r="DG2" s="155"/>
      <c r="DH2" s="155"/>
      <c r="DI2" s="155"/>
      <c r="DJ2" s="155"/>
      <c r="DK2" s="155"/>
      <c r="DL2" s="155"/>
      <c r="DM2" s="155"/>
      <c r="DN2" s="155"/>
      <c r="DO2" s="155"/>
      <c r="DP2" s="155"/>
      <c r="DQ2" s="155"/>
      <c r="DR2" s="155"/>
      <c r="DS2" s="155"/>
    </row>
    <row r="3" spans="1:124" ht="36" customHeight="1" x14ac:dyDescent="0.45">
      <c r="B3" s="217"/>
      <c r="C3" s="218"/>
      <c r="D3" s="218"/>
      <c r="E3" s="218"/>
      <c r="F3" s="218"/>
      <c r="G3" s="218"/>
      <c r="H3" s="218"/>
      <c r="I3" s="218"/>
      <c r="J3" s="218"/>
      <c r="K3" s="219"/>
      <c r="L3" s="217"/>
      <c r="M3" s="218"/>
      <c r="N3" s="218"/>
      <c r="O3" s="217"/>
      <c r="P3" s="218"/>
      <c r="Q3" s="218"/>
      <c r="R3" s="218"/>
      <c r="S3" s="218"/>
      <c r="T3" s="219"/>
      <c r="U3" s="118" t="s">
        <v>211</v>
      </c>
      <c r="V3" s="205"/>
      <c r="W3" s="205"/>
      <c r="X3" s="205"/>
      <c r="Y3" s="220"/>
      <c r="Z3" s="220"/>
      <c r="AA3" s="220"/>
      <c r="AB3" s="220"/>
      <c r="AC3" s="220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55"/>
      <c r="AP3" s="206"/>
      <c r="AQ3" s="206"/>
      <c r="AR3" s="185"/>
      <c r="AS3" s="155"/>
      <c r="AT3" s="155"/>
      <c r="AU3" s="155"/>
      <c r="AV3" s="155"/>
      <c r="AW3" s="155"/>
      <c r="AX3" s="157"/>
      <c r="AY3" s="157"/>
      <c r="AZ3" s="157"/>
      <c r="BA3" s="157"/>
      <c r="BB3" s="157"/>
      <c r="BC3" s="206"/>
      <c r="BD3" s="206"/>
      <c r="BE3" s="185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86"/>
      <c r="BT3" s="186"/>
      <c r="BU3" s="186"/>
      <c r="BV3" s="186"/>
      <c r="BW3" s="186"/>
      <c r="BX3" s="186"/>
      <c r="BY3" s="186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</row>
    <row r="4" spans="1:124" ht="31.5" customHeight="1" x14ac:dyDescent="0.45">
      <c r="B4" s="353" t="s">
        <v>33</v>
      </c>
      <c r="C4" s="354"/>
      <c r="D4" s="355"/>
      <c r="E4" s="356"/>
      <c r="F4" s="357"/>
      <c r="G4" s="93" t="s">
        <v>24</v>
      </c>
      <c r="H4" s="210"/>
      <c r="I4" s="211"/>
      <c r="J4" s="212"/>
      <c r="K4" s="213"/>
      <c r="L4" s="214" t="s">
        <v>25</v>
      </c>
      <c r="M4" s="215"/>
      <c r="N4" s="216"/>
      <c r="O4" s="350"/>
      <c r="P4" s="351"/>
      <c r="Q4" s="352"/>
      <c r="R4" s="24" t="s">
        <v>6</v>
      </c>
      <c r="S4" s="338" t="s">
        <v>221</v>
      </c>
      <c r="T4" s="339"/>
      <c r="U4" s="119"/>
      <c r="V4" s="205"/>
      <c r="W4" s="205"/>
      <c r="X4" s="205"/>
      <c r="Y4" s="207"/>
      <c r="Z4" s="207"/>
      <c r="AA4" s="207"/>
      <c r="AB4" s="207"/>
      <c r="AC4" s="207"/>
      <c r="AD4" s="187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55"/>
      <c r="AP4" s="206"/>
      <c r="AQ4" s="206"/>
      <c r="AR4" s="185"/>
      <c r="AS4" s="155"/>
      <c r="AT4" s="155"/>
      <c r="AU4" s="155"/>
      <c r="AV4" s="155"/>
      <c r="AW4" s="155"/>
      <c r="AX4" s="157"/>
      <c r="AY4" s="157"/>
      <c r="AZ4" s="157"/>
      <c r="BA4" s="157"/>
      <c r="BB4" s="157"/>
      <c r="BC4" s="206"/>
      <c r="BD4" s="206"/>
      <c r="BE4" s="185"/>
      <c r="BF4" s="157"/>
      <c r="BG4" s="157"/>
      <c r="BH4" s="157"/>
      <c r="BI4" s="157"/>
      <c r="BJ4" s="157"/>
      <c r="BK4" s="157"/>
      <c r="BL4" s="157"/>
      <c r="BM4" s="157"/>
      <c r="BN4" s="157"/>
      <c r="BO4" s="157"/>
      <c r="BP4" s="157"/>
      <c r="BQ4" s="157"/>
      <c r="BR4" s="157"/>
      <c r="BS4" s="157"/>
      <c r="BT4" s="157"/>
      <c r="BU4" s="157"/>
      <c r="BV4" s="157"/>
      <c r="BW4" s="157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/>
      <c r="CP4" s="155"/>
      <c r="CQ4" s="155"/>
      <c r="CR4" s="155"/>
      <c r="CS4" s="155"/>
      <c r="CT4" s="155"/>
      <c r="CU4" s="155"/>
      <c r="CV4" s="155"/>
      <c r="CW4" s="155"/>
      <c r="CX4" s="155"/>
      <c r="CY4" s="155"/>
      <c r="CZ4" s="155"/>
      <c r="DA4" s="155"/>
      <c r="DB4" s="155"/>
      <c r="DC4" s="155"/>
      <c r="DD4" s="155"/>
      <c r="DE4" s="155"/>
      <c r="DF4" s="155"/>
      <c r="DG4" s="155"/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</row>
    <row r="5" spans="1:124" ht="31.5" customHeight="1" x14ac:dyDescent="0.45">
      <c r="B5" s="90" t="s">
        <v>224</v>
      </c>
      <c r="C5" s="91"/>
      <c r="D5" s="91"/>
      <c r="E5" s="91"/>
      <c r="F5" s="92"/>
      <c r="G5" s="224"/>
      <c r="H5" s="224"/>
      <c r="I5" s="224"/>
      <c r="J5" s="224"/>
      <c r="K5" s="224"/>
      <c r="L5" s="224"/>
      <c r="M5" s="224"/>
      <c r="N5" s="225"/>
      <c r="O5" s="224"/>
      <c r="P5" s="224"/>
      <c r="Q5" s="224"/>
      <c r="R5" s="224"/>
      <c r="S5" s="224"/>
      <c r="T5" s="225"/>
      <c r="U5" s="120"/>
      <c r="V5" s="205"/>
      <c r="W5" s="205"/>
      <c r="X5" s="205"/>
      <c r="Y5" s="220"/>
      <c r="Z5" s="220"/>
      <c r="AA5" s="220"/>
      <c r="AB5" s="220"/>
      <c r="AC5" s="220"/>
      <c r="AD5" s="187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55"/>
      <c r="AP5" s="206"/>
      <c r="AQ5" s="206"/>
      <c r="AR5" s="185"/>
      <c r="AS5" s="155"/>
      <c r="AT5" s="155"/>
      <c r="AU5" s="155"/>
      <c r="AV5" s="155"/>
      <c r="AW5" s="155"/>
      <c r="AX5" s="157"/>
      <c r="AY5" s="157"/>
      <c r="AZ5" s="157"/>
      <c r="BA5" s="157"/>
      <c r="BB5" s="157"/>
      <c r="BC5" s="206"/>
      <c r="BD5" s="206"/>
      <c r="BE5" s="185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5"/>
      <c r="BY5" s="155"/>
      <c r="BZ5" s="155"/>
      <c r="CA5" s="189"/>
      <c r="CB5" s="189"/>
      <c r="CC5" s="189"/>
      <c r="CD5" s="189"/>
      <c r="CE5" s="189"/>
      <c r="CF5" s="189"/>
      <c r="CG5" s="155"/>
      <c r="CH5" s="155"/>
      <c r="CI5" s="155"/>
      <c r="CJ5" s="155"/>
      <c r="CK5" s="155"/>
      <c r="CL5" s="155"/>
      <c r="CM5" s="155"/>
      <c r="CN5" s="155"/>
      <c r="CO5" s="155"/>
      <c r="CP5" s="155"/>
      <c r="CQ5" s="155"/>
      <c r="CR5" s="155"/>
      <c r="CS5" s="155"/>
      <c r="CT5" s="155"/>
      <c r="CU5" s="155"/>
      <c r="CV5" s="155"/>
      <c r="CW5" s="155"/>
      <c r="CX5" s="155"/>
      <c r="CY5" s="155"/>
      <c r="CZ5" s="155"/>
      <c r="DA5" s="155"/>
      <c r="DB5" s="155"/>
      <c r="DC5" s="155"/>
      <c r="DD5" s="155"/>
      <c r="DE5" s="155"/>
      <c r="DF5" s="155"/>
      <c r="DG5" s="155"/>
      <c r="DH5" s="155"/>
      <c r="DI5" s="155"/>
      <c r="DJ5" s="155"/>
      <c r="DK5" s="155"/>
      <c r="DL5" s="155"/>
      <c r="DM5" s="155"/>
      <c r="DN5" s="155"/>
      <c r="DO5" s="155"/>
      <c r="DP5" s="155"/>
      <c r="DQ5" s="155"/>
      <c r="DR5" s="155"/>
      <c r="DS5" s="155"/>
    </row>
    <row r="6" spans="1:124" ht="26.25" customHeight="1" x14ac:dyDescent="0.6">
      <c r="B6" s="353" t="s">
        <v>226</v>
      </c>
      <c r="C6" s="354"/>
      <c r="D6" s="354"/>
      <c r="E6" s="354"/>
      <c r="F6" s="208"/>
      <c r="G6" s="209"/>
      <c r="H6" s="27" t="s">
        <v>30</v>
      </c>
      <c r="I6" s="208"/>
      <c r="J6" s="364"/>
      <c r="K6" s="209"/>
      <c r="L6" s="354" t="s">
        <v>22</v>
      </c>
      <c r="M6" s="354"/>
      <c r="N6" s="230"/>
      <c r="O6" s="232"/>
      <c r="P6" s="229" t="s">
        <v>23</v>
      </c>
      <c r="Q6" s="229"/>
      <c r="R6" s="230"/>
      <c r="S6" s="231"/>
      <c r="T6" s="232"/>
      <c r="U6" s="121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155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156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4"/>
      <c r="BV6" s="234"/>
      <c r="BW6" s="234"/>
      <c r="BX6" s="234"/>
      <c r="BY6" s="234"/>
      <c r="BZ6" s="155"/>
      <c r="CA6" s="343"/>
      <c r="CB6" s="343"/>
      <c r="CC6" s="343"/>
      <c r="CD6" s="343"/>
      <c r="CE6" s="343"/>
      <c r="CF6" s="343"/>
      <c r="CG6" s="343"/>
      <c r="CH6" s="343"/>
      <c r="CI6" s="343"/>
      <c r="CJ6" s="343"/>
      <c r="CK6" s="343"/>
      <c r="CL6" s="343"/>
      <c r="CM6" s="343"/>
      <c r="CN6" s="343"/>
      <c r="CO6" s="343"/>
      <c r="CP6" s="343"/>
      <c r="CQ6" s="343"/>
      <c r="CR6" s="343"/>
      <c r="CS6" s="157"/>
      <c r="CT6" s="155"/>
      <c r="CU6" s="221"/>
      <c r="CV6" s="221"/>
      <c r="CW6" s="221"/>
      <c r="CX6" s="155"/>
      <c r="CY6" s="221"/>
      <c r="CZ6" s="221"/>
      <c r="DA6" s="221"/>
      <c r="DB6" s="155"/>
      <c r="DC6" s="221"/>
      <c r="DD6" s="221"/>
      <c r="DE6" s="221"/>
      <c r="DF6" s="155"/>
      <c r="DG6" s="221"/>
      <c r="DH6" s="221"/>
      <c r="DI6" s="221"/>
      <c r="DJ6" s="155"/>
      <c r="DK6" s="221"/>
      <c r="DL6" s="221"/>
      <c r="DM6" s="221"/>
      <c r="DN6" s="155"/>
      <c r="DO6" s="221"/>
      <c r="DP6" s="221"/>
      <c r="DQ6" s="221"/>
      <c r="DR6" s="155"/>
      <c r="DS6" s="155"/>
      <c r="DT6" s="183"/>
    </row>
    <row r="7" spans="1:124" ht="25.5" customHeight="1" x14ac:dyDescent="0.6">
      <c r="B7" s="358" t="s">
        <v>225</v>
      </c>
      <c r="C7" s="359"/>
      <c r="D7" s="359"/>
      <c r="E7" s="360"/>
      <c r="F7" s="344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6"/>
      <c r="U7" s="122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155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156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234"/>
      <c r="BS7" s="234"/>
      <c r="BT7" s="234"/>
      <c r="BU7" s="234"/>
      <c r="BV7" s="234"/>
      <c r="BW7" s="234"/>
      <c r="BX7" s="234"/>
      <c r="BY7" s="234"/>
      <c r="BZ7" s="155"/>
      <c r="CA7" s="343"/>
      <c r="CB7" s="343"/>
      <c r="CC7" s="343"/>
      <c r="CD7" s="343"/>
      <c r="CE7" s="343"/>
      <c r="CF7" s="343"/>
      <c r="CG7" s="343"/>
      <c r="CH7" s="343"/>
      <c r="CI7" s="343"/>
      <c r="CJ7" s="343"/>
      <c r="CK7" s="343"/>
      <c r="CL7" s="343"/>
      <c r="CM7" s="343"/>
      <c r="CN7" s="343"/>
      <c r="CO7" s="343"/>
      <c r="CP7" s="343"/>
      <c r="CQ7" s="343"/>
      <c r="CR7" s="343"/>
      <c r="CS7" s="157"/>
      <c r="CT7" s="155"/>
      <c r="CU7" s="221"/>
      <c r="CV7" s="221"/>
      <c r="CW7" s="221"/>
      <c r="CX7" s="155"/>
      <c r="CY7" s="221"/>
      <c r="CZ7" s="221"/>
      <c r="DA7" s="221"/>
      <c r="DB7" s="155"/>
      <c r="DC7" s="221"/>
      <c r="DD7" s="221"/>
      <c r="DE7" s="221"/>
      <c r="DF7" s="155"/>
      <c r="DG7" s="221"/>
      <c r="DH7" s="221"/>
      <c r="DI7" s="221"/>
      <c r="DJ7" s="155"/>
      <c r="DK7" s="221"/>
      <c r="DL7" s="221"/>
      <c r="DM7" s="221"/>
      <c r="DN7" s="155"/>
      <c r="DO7" s="221"/>
      <c r="DP7" s="221"/>
      <c r="DQ7" s="221"/>
      <c r="DR7" s="155"/>
      <c r="DS7" s="155"/>
      <c r="DT7" s="183"/>
    </row>
    <row r="8" spans="1:124" ht="25.5" customHeight="1" x14ac:dyDescent="0.9">
      <c r="B8" s="361"/>
      <c r="C8" s="362"/>
      <c r="D8" s="362"/>
      <c r="E8" s="363"/>
      <c r="F8" s="347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9"/>
      <c r="U8" s="123"/>
      <c r="V8" s="222"/>
      <c r="W8" s="222"/>
      <c r="X8" s="222"/>
      <c r="Y8" s="222"/>
      <c r="Z8" s="222"/>
      <c r="AA8" s="222"/>
      <c r="AB8" s="222"/>
      <c r="AC8" s="158"/>
      <c r="AD8" s="158"/>
      <c r="AE8" s="158"/>
      <c r="AF8" s="158"/>
      <c r="AG8" s="158"/>
      <c r="AH8" s="159"/>
      <c r="AI8" s="233"/>
      <c r="AJ8" s="233"/>
      <c r="AK8" s="233"/>
      <c r="AL8" s="233"/>
      <c r="AM8" s="233"/>
      <c r="AN8" s="155"/>
      <c r="AO8" s="222"/>
      <c r="AP8" s="222"/>
      <c r="AQ8" s="222"/>
      <c r="AR8" s="222"/>
      <c r="AS8" s="222"/>
      <c r="AT8" s="222"/>
      <c r="AU8" s="222"/>
      <c r="AV8" s="158"/>
      <c r="AW8" s="158"/>
      <c r="AX8" s="158"/>
      <c r="AY8" s="158"/>
      <c r="AZ8" s="158"/>
      <c r="BA8" s="159"/>
      <c r="BB8" s="233"/>
      <c r="BC8" s="233"/>
      <c r="BD8" s="233"/>
      <c r="BE8" s="233"/>
      <c r="BF8" s="233"/>
      <c r="BG8" s="160"/>
      <c r="BH8" s="222"/>
      <c r="BI8" s="222"/>
      <c r="BJ8" s="222"/>
      <c r="BK8" s="222"/>
      <c r="BL8" s="222"/>
      <c r="BM8" s="222"/>
      <c r="BN8" s="222"/>
      <c r="BO8" s="158"/>
      <c r="BP8" s="158"/>
      <c r="BQ8" s="158"/>
      <c r="BR8" s="158"/>
      <c r="BS8" s="158"/>
      <c r="BT8" s="159"/>
      <c r="BU8" s="233"/>
      <c r="BV8" s="233"/>
      <c r="BW8" s="233"/>
      <c r="BX8" s="233"/>
      <c r="BY8" s="233"/>
      <c r="BZ8" s="155"/>
      <c r="CA8" s="233"/>
      <c r="CB8" s="233"/>
      <c r="CC8" s="233"/>
      <c r="CD8" s="233"/>
      <c r="CE8" s="233"/>
      <c r="CF8" s="233"/>
      <c r="CG8" s="233"/>
      <c r="CH8" s="161"/>
      <c r="CI8" s="158"/>
      <c r="CJ8" s="158"/>
      <c r="CK8" s="158"/>
      <c r="CL8" s="158"/>
      <c r="CM8" s="159"/>
      <c r="CN8" s="233"/>
      <c r="CO8" s="233"/>
      <c r="CP8" s="233"/>
      <c r="CQ8" s="233"/>
      <c r="CR8" s="233"/>
      <c r="CS8" s="157"/>
      <c r="CT8" s="155"/>
      <c r="CU8" s="222"/>
      <c r="CV8" s="222"/>
      <c r="CW8" s="222"/>
      <c r="CX8" s="155"/>
      <c r="CY8" s="222"/>
      <c r="CZ8" s="222"/>
      <c r="DA8" s="222"/>
      <c r="DB8" s="155"/>
      <c r="DC8" s="222"/>
      <c r="DD8" s="222"/>
      <c r="DE8" s="222"/>
      <c r="DF8" s="155"/>
      <c r="DG8" s="222"/>
      <c r="DH8" s="222"/>
      <c r="DI8" s="222"/>
      <c r="DJ8" s="155"/>
      <c r="DK8" s="222"/>
      <c r="DL8" s="222"/>
      <c r="DM8" s="222"/>
      <c r="DN8" s="155"/>
      <c r="DO8" s="222"/>
      <c r="DP8" s="222"/>
      <c r="DQ8" s="222"/>
      <c r="DR8" s="155"/>
      <c r="DS8" s="155"/>
      <c r="DT8" s="183"/>
    </row>
    <row r="9" spans="1:124" ht="30" customHeight="1" x14ac:dyDescent="0.9">
      <c r="B9" s="26" t="s">
        <v>18</v>
      </c>
      <c r="C9" s="20" t="s">
        <v>20</v>
      </c>
      <c r="D9" s="22" t="s">
        <v>21</v>
      </c>
      <c r="E9" s="22" t="s">
        <v>19</v>
      </c>
      <c r="F9" s="21" t="s">
        <v>20</v>
      </c>
      <c r="G9" s="23" t="s">
        <v>10</v>
      </c>
      <c r="H9" s="15" t="s">
        <v>11</v>
      </c>
      <c r="I9" s="24" t="s">
        <v>14</v>
      </c>
      <c r="J9" s="16" t="s">
        <v>8</v>
      </c>
      <c r="K9" s="48" t="s">
        <v>34</v>
      </c>
      <c r="L9" s="236" t="s">
        <v>26</v>
      </c>
      <c r="M9" s="238"/>
      <c r="N9" s="236" t="s">
        <v>9</v>
      </c>
      <c r="O9" s="237"/>
      <c r="P9" s="16" t="s">
        <v>12</v>
      </c>
      <c r="Q9" s="17" t="s">
        <v>31</v>
      </c>
      <c r="R9" s="17" t="s">
        <v>13</v>
      </c>
      <c r="S9" s="17" t="s">
        <v>32</v>
      </c>
      <c r="T9" s="17" t="s">
        <v>15</v>
      </c>
      <c r="U9" s="123"/>
      <c r="V9" s="162"/>
      <c r="W9" s="162"/>
      <c r="X9" s="163"/>
      <c r="Y9" s="162"/>
      <c r="Z9" s="162"/>
      <c r="AA9" s="162"/>
      <c r="AB9" s="163"/>
      <c r="AC9" s="164"/>
      <c r="AD9" s="162"/>
      <c r="AE9" s="162"/>
      <c r="AF9" s="162"/>
      <c r="AG9" s="162"/>
      <c r="AH9" s="164"/>
      <c r="AI9" s="164"/>
      <c r="AJ9" s="164"/>
      <c r="AK9" s="164"/>
      <c r="AL9" s="164"/>
      <c r="AM9" s="165"/>
      <c r="AN9" s="155"/>
      <c r="AO9" s="166"/>
      <c r="AP9" s="162"/>
      <c r="AQ9" s="163"/>
      <c r="AR9" s="162"/>
      <c r="AS9" s="162"/>
      <c r="AT9" s="162"/>
      <c r="AU9" s="163"/>
      <c r="AV9" s="164"/>
      <c r="AW9" s="162"/>
      <c r="AX9" s="162"/>
      <c r="AY9" s="162"/>
      <c r="AZ9" s="162"/>
      <c r="BA9" s="164"/>
      <c r="BB9" s="164"/>
      <c r="BC9" s="164"/>
      <c r="BD9" s="164"/>
      <c r="BE9" s="164"/>
      <c r="BF9" s="165"/>
      <c r="BG9" s="160"/>
      <c r="BH9" s="166"/>
      <c r="BI9" s="162"/>
      <c r="BJ9" s="163"/>
      <c r="BK9" s="162"/>
      <c r="BL9" s="162"/>
      <c r="BM9" s="162"/>
      <c r="BN9" s="163"/>
      <c r="BO9" s="164"/>
      <c r="BP9" s="162"/>
      <c r="BQ9" s="162"/>
      <c r="BR9" s="162"/>
      <c r="BS9" s="162"/>
      <c r="BT9" s="164"/>
      <c r="BU9" s="164"/>
      <c r="BV9" s="164"/>
      <c r="BW9" s="164"/>
      <c r="BX9" s="164"/>
      <c r="BY9" s="158"/>
      <c r="BZ9" s="155"/>
      <c r="CA9" s="167"/>
      <c r="CB9" s="167"/>
      <c r="CC9" s="167"/>
      <c r="CD9" s="167"/>
      <c r="CE9" s="167"/>
      <c r="CF9" s="167"/>
      <c r="CG9" s="167"/>
      <c r="CH9" s="167"/>
      <c r="CI9" s="162"/>
      <c r="CJ9" s="162"/>
      <c r="CK9" s="162"/>
      <c r="CL9" s="162"/>
      <c r="CM9" s="164"/>
      <c r="CN9" s="164"/>
      <c r="CO9" s="164"/>
      <c r="CP9" s="164"/>
      <c r="CQ9" s="164"/>
      <c r="CR9" s="168"/>
      <c r="CS9" s="157"/>
      <c r="CT9" s="155"/>
      <c r="CU9" s="162"/>
      <c r="CV9" s="162"/>
      <c r="CW9" s="163"/>
      <c r="CX9" s="155"/>
      <c r="CY9" s="162"/>
      <c r="CZ9" s="162"/>
      <c r="DA9" s="163"/>
      <c r="DB9" s="155"/>
      <c r="DC9" s="162"/>
      <c r="DD9" s="162"/>
      <c r="DE9" s="163"/>
      <c r="DF9" s="155"/>
      <c r="DG9" s="162"/>
      <c r="DH9" s="162"/>
      <c r="DI9" s="163"/>
      <c r="DJ9" s="155"/>
      <c r="DK9" s="162"/>
      <c r="DL9" s="162"/>
      <c r="DM9" s="163"/>
      <c r="DN9" s="155"/>
      <c r="DO9" s="162"/>
      <c r="DP9" s="162"/>
      <c r="DQ9" s="163"/>
      <c r="DR9" s="155"/>
      <c r="DS9" s="155"/>
      <c r="DT9" s="183"/>
    </row>
    <row r="10" spans="1:124" ht="25.25" customHeight="1" x14ac:dyDescent="0.6">
      <c r="B10" s="239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40"/>
      <c r="N10" s="239"/>
      <c r="O10" s="240"/>
      <c r="P10" s="226"/>
      <c r="Q10" s="227"/>
      <c r="R10" s="227"/>
      <c r="S10" s="227"/>
      <c r="T10" s="228"/>
      <c r="U10" s="124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169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160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155"/>
      <c r="CA10" s="299"/>
      <c r="CB10" s="299"/>
      <c r="CC10" s="299"/>
      <c r="CD10" s="299"/>
      <c r="CE10" s="299"/>
      <c r="CF10" s="299"/>
      <c r="CG10" s="299"/>
      <c r="CH10" s="299"/>
      <c r="CI10" s="299"/>
      <c r="CJ10" s="299"/>
      <c r="CK10" s="299"/>
      <c r="CL10" s="299"/>
      <c r="CM10" s="299"/>
      <c r="CN10" s="299"/>
      <c r="CO10" s="299"/>
      <c r="CP10" s="299"/>
      <c r="CQ10" s="299"/>
      <c r="CR10" s="299"/>
      <c r="CS10" s="157"/>
      <c r="CT10" s="155"/>
      <c r="CU10" s="223"/>
      <c r="CV10" s="223"/>
      <c r="CW10" s="223"/>
      <c r="CX10" s="155"/>
      <c r="CY10" s="223"/>
      <c r="CZ10" s="223"/>
      <c r="DA10" s="223"/>
      <c r="DB10" s="155"/>
      <c r="DC10" s="223"/>
      <c r="DD10" s="223"/>
      <c r="DE10" s="223"/>
      <c r="DF10" s="155"/>
      <c r="DG10" s="223"/>
      <c r="DH10" s="223"/>
      <c r="DI10" s="223"/>
      <c r="DJ10" s="155"/>
      <c r="DK10" s="223"/>
      <c r="DL10" s="223"/>
      <c r="DM10" s="223"/>
      <c r="DN10" s="155"/>
      <c r="DO10" s="223"/>
      <c r="DP10" s="223"/>
      <c r="DQ10" s="223"/>
      <c r="DR10" s="155"/>
      <c r="DS10" s="155"/>
      <c r="DT10" s="183"/>
    </row>
    <row r="11" spans="1:124" ht="25.25" customHeight="1" x14ac:dyDescent="0.6">
      <c r="B11" s="151"/>
      <c r="C11" s="133"/>
      <c r="D11" s="46"/>
      <c r="E11" s="46"/>
      <c r="F11" s="114"/>
      <c r="G11" s="125"/>
      <c r="H11" s="141"/>
      <c r="I11" s="142"/>
      <c r="J11" s="148"/>
      <c r="K11" s="153"/>
      <c r="L11" s="253"/>
      <c r="M11" s="254"/>
      <c r="N11" s="250"/>
      <c r="O11" s="251"/>
      <c r="P11" s="108">
        <f t="shared" ref="P11:P39" si="0">(G11*H11)*0.0001</f>
        <v>0</v>
      </c>
      <c r="Q11" s="108">
        <f t="shared" ref="Q11:Q39" si="1">J11*P11</f>
        <v>0</v>
      </c>
      <c r="R11" s="108">
        <f t="shared" ref="R11:R39" si="2">(G11*0.01)*J11</f>
        <v>0</v>
      </c>
      <c r="S11" s="108">
        <f t="shared" ref="S11:S39" si="3">(G11*H11*I11*J11)*0.000001</f>
        <v>0</v>
      </c>
      <c r="T11" s="116">
        <f t="shared" ref="T11:T39" si="4">(Q11*(I11*0.01)*2.7)*1000</f>
        <v>0</v>
      </c>
      <c r="U11" s="12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69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60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71"/>
      <c r="BU11" s="154"/>
      <c r="BV11" s="154"/>
      <c r="BW11" s="154"/>
      <c r="BX11" s="154"/>
      <c r="BY11" s="154"/>
      <c r="BZ11" s="155"/>
      <c r="CA11" s="170"/>
      <c r="CB11" s="170"/>
      <c r="CC11" s="170"/>
      <c r="CD11" s="170"/>
      <c r="CE11" s="170"/>
      <c r="CF11" s="170"/>
      <c r="CG11" s="170"/>
      <c r="CH11" s="172"/>
      <c r="CI11" s="154"/>
      <c r="CJ11" s="154"/>
      <c r="CK11" s="154"/>
      <c r="CL11" s="154"/>
      <c r="CM11" s="173"/>
      <c r="CN11" s="154"/>
      <c r="CO11" s="154"/>
      <c r="CP11" s="154"/>
      <c r="CQ11" s="154"/>
      <c r="CR11" s="154"/>
      <c r="CS11" s="157"/>
      <c r="CT11" s="155"/>
      <c r="CU11" s="154"/>
      <c r="CV11" s="154"/>
      <c r="CW11" s="154"/>
      <c r="CX11" s="155"/>
      <c r="CY11" s="154"/>
      <c r="CZ11" s="154"/>
      <c r="DA11" s="154"/>
      <c r="DB11" s="155"/>
      <c r="DC11" s="154"/>
      <c r="DD11" s="154"/>
      <c r="DE11" s="154"/>
      <c r="DF11" s="155"/>
      <c r="DG11" s="154"/>
      <c r="DH11" s="154"/>
      <c r="DI11" s="154"/>
      <c r="DJ11" s="155"/>
      <c r="DK11" s="154"/>
      <c r="DL11" s="154"/>
      <c r="DM11" s="154"/>
      <c r="DN11" s="155"/>
      <c r="DO11" s="154"/>
      <c r="DP11" s="154"/>
      <c r="DQ11" s="154"/>
      <c r="DR11" s="155"/>
      <c r="DS11" s="155"/>
      <c r="DT11" s="183"/>
    </row>
    <row r="12" spans="1:124" ht="25.25" customHeight="1" x14ac:dyDescent="0.6">
      <c r="B12" s="136"/>
      <c r="C12" s="127"/>
      <c r="D12" s="102"/>
      <c r="E12" s="101"/>
      <c r="F12" s="128"/>
      <c r="G12" s="125"/>
      <c r="H12" s="141"/>
      <c r="I12" s="143"/>
      <c r="J12" s="149"/>
      <c r="K12" s="153"/>
      <c r="L12" s="245"/>
      <c r="M12" s="246"/>
      <c r="N12" s="243"/>
      <c r="O12" s="244"/>
      <c r="P12" s="108">
        <f t="shared" si="0"/>
        <v>0</v>
      </c>
      <c r="Q12" s="41">
        <f>J12*P12</f>
        <v>0</v>
      </c>
      <c r="R12" s="108">
        <f>(G12*0.01)*J12</f>
        <v>0</v>
      </c>
      <c r="S12" s="41">
        <f>(G12*H12*I12*J12)*0.000001</f>
        <v>0</v>
      </c>
      <c r="T12" s="116">
        <f t="shared" si="4"/>
        <v>0</v>
      </c>
      <c r="U12" s="12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69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60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4"/>
      <c r="BS12" s="154"/>
      <c r="BT12" s="171"/>
      <c r="BU12" s="154"/>
      <c r="BV12" s="154"/>
      <c r="BW12" s="154"/>
      <c r="BX12" s="154"/>
      <c r="BY12" s="154"/>
      <c r="BZ12" s="155"/>
      <c r="CA12" s="170"/>
      <c r="CB12" s="170"/>
      <c r="CC12" s="170"/>
      <c r="CD12" s="170"/>
      <c r="CE12" s="170"/>
      <c r="CF12" s="170"/>
      <c r="CG12" s="170"/>
      <c r="CH12" s="172"/>
      <c r="CI12" s="154"/>
      <c r="CJ12" s="154"/>
      <c r="CK12" s="154"/>
      <c r="CL12" s="154"/>
      <c r="CM12" s="173"/>
      <c r="CN12" s="154"/>
      <c r="CO12" s="154"/>
      <c r="CP12" s="154"/>
      <c r="CQ12" s="154"/>
      <c r="CR12" s="154"/>
      <c r="CS12" s="157"/>
      <c r="CT12" s="155"/>
      <c r="CU12" s="154"/>
      <c r="CV12" s="154"/>
      <c r="CW12" s="154"/>
      <c r="CX12" s="155"/>
      <c r="CY12" s="154"/>
      <c r="CZ12" s="154"/>
      <c r="DA12" s="154"/>
      <c r="DB12" s="155"/>
      <c r="DC12" s="154"/>
      <c r="DD12" s="154"/>
      <c r="DE12" s="154"/>
      <c r="DF12" s="155"/>
      <c r="DG12" s="154"/>
      <c r="DH12" s="154"/>
      <c r="DI12" s="154"/>
      <c r="DJ12" s="155"/>
      <c r="DK12" s="154"/>
      <c r="DL12" s="154"/>
      <c r="DM12" s="154"/>
      <c r="DN12" s="155"/>
      <c r="DO12" s="154"/>
      <c r="DP12" s="154"/>
      <c r="DQ12" s="154"/>
      <c r="DR12" s="155"/>
      <c r="DS12" s="155"/>
      <c r="DT12" s="183"/>
    </row>
    <row r="13" spans="1:124" ht="25.25" customHeight="1" x14ac:dyDescent="0.6">
      <c r="B13" s="137"/>
      <c r="C13" s="132"/>
      <c r="D13" s="131"/>
      <c r="E13" s="134"/>
      <c r="F13" s="135"/>
      <c r="G13" s="125"/>
      <c r="H13" s="141"/>
      <c r="I13" s="143"/>
      <c r="J13" s="149"/>
      <c r="K13" s="153"/>
      <c r="L13" s="245"/>
      <c r="M13" s="246"/>
      <c r="N13" s="243"/>
      <c r="O13" s="244"/>
      <c r="P13" s="108">
        <f t="shared" si="0"/>
        <v>0</v>
      </c>
      <c r="Q13" s="106">
        <f t="shared" si="1"/>
        <v>0</v>
      </c>
      <c r="R13" s="41">
        <f t="shared" si="2"/>
        <v>0</v>
      </c>
      <c r="S13" s="106">
        <f t="shared" si="3"/>
        <v>0</v>
      </c>
      <c r="T13" s="116">
        <f t="shared" si="4"/>
        <v>0</v>
      </c>
      <c r="U13" s="12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69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60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71"/>
      <c r="BU13" s="154"/>
      <c r="BV13" s="154"/>
      <c r="BW13" s="154"/>
      <c r="BX13" s="154"/>
      <c r="BY13" s="154"/>
      <c r="BZ13" s="155"/>
      <c r="CA13" s="170"/>
      <c r="CB13" s="170"/>
      <c r="CC13" s="170"/>
      <c r="CD13" s="170"/>
      <c r="CE13" s="170"/>
      <c r="CF13" s="170"/>
      <c r="CG13" s="170"/>
      <c r="CH13" s="172"/>
      <c r="CI13" s="154"/>
      <c r="CJ13" s="154"/>
      <c r="CK13" s="154"/>
      <c r="CL13" s="154"/>
      <c r="CM13" s="173"/>
      <c r="CN13" s="154"/>
      <c r="CO13" s="154"/>
      <c r="CP13" s="154"/>
      <c r="CQ13" s="154"/>
      <c r="CR13" s="154"/>
      <c r="CS13" s="157"/>
      <c r="CT13" s="155"/>
      <c r="CU13" s="154"/>
      <c r="CV13" s="154"/>
      <c r="CW13" s="154"/>
      <c r="CX13" s="155"/>
      <c r="CY13" s="154"/>
      <c r="CZ13" s="154"/>
      <c r="DA13" s="154"/>
      <c r="DB13" s="155"/>
      <c r="DC13" s="154"/>
      <c r="DD13" s="154"/>
      <c r="DE13" s="154"/>
      <c r="DF13" s="155"/>
      <c r="DG13" s="154"/>
      <c r="DH13" s="154"/>
      <c r="DI13" s="154"/>
      <c r="DJ13" s="155"/>
      <c r="DK13" s="154"/>
      <c r="DL13" s="154"/>
      <c r="DM13" s="154"/>
      <c r="DN13" s="155"/>
      <c r="DO13" s="154"/>
      <c r="DP13" s="154"/>
      <c r="DQ13" s="154"/>
      <c r="DR13" s="155"/>
      <c r="DS13" s="155"/>
      <c r="DT13" s="183"/>
    </row>
    <row r="14" spans="1:124" ht="25.25" customHeight="1" x14ac:dyDescent="0.6">
      <c r="A14" s="126"/>
      <c r="B14" s="136"/>
      <c r="C14" s="107"/>
      <c r="D14" s="104"/>
      <c r="E14" s="102"/>
      <c r="F14" s="128"/>
      <c r="G14" s="125"/>
      <c r="H14" s="141"/>
      <c r="I14" s="143"/>
      <c r="J14" s="149"/>
      <c r="K14" s="153"/>
      <c r="L14" s="245"/>
      <c r="M14" s="246"/>
      <c r="N14" s="243"/>
      <c r="O14" s="244"/>
      <c r="P14" s="41">
        <f t="shared" si="0"/>
        <v>0</v>
      </c>
      <c r="Q14" s="41">
        <f t="shared" si="1"/>
        <v>0</v>
      </c>
      <c r="R14" s="41">
        <f t="shared" si="2"/>
        <v>0</v>
      </c>
      <c r="S14" s="41">
        <f t="shared" si="3"/>
        <v>0</v>
      </c>
      <c r="T14" s="116">
        <f t="shared" si="4"/>
        <v>0</v>
      </c>
      <c r="U14" s="12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69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60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71"/>
      <c r="BU14" s="154"/>
      <c r="BV14" s="154"/>
      <c r="BW14" s="154"/>
      <c r="BX14" s="154"/>
      <c r="BY14" s="154"/>
      <c r="BZ14" s="155"/>
      <c r="CA14" s="170"/>
      <c r="CB14" s="170"/>
      <c r="CC14" s="170"/>
      <c r="CD14" s="170"/>
      <c r="CE14" s="170"/>
      <c r="CF14" s="170"/>
      <c r="CG14" s="170"/>
      <c r="CH14" s="172"/>
      <c r="CI14" s="154"/>
      <c r="CJ14" s="154"/>
      <c r="CK14" s="154"/>
      <c r="CL14" s="154"/>
      <c r="CM14" s="173"/>
      <c r="CN14" s="154"/>
      <c r="CO14" s="154"/>
      <c r="CP14" s="154"/>
      <c r="CQ14" s="154"/>
      <c r="CR14" s="154"/>
      <c r="CS14" s="157"/>
      <c r="CT14" s="155"/>
      <c r="CU14" s="154"/>
      <c r="CV14" s="154"/>
      <c r="CW14" s="154"/>
      <c r="CX14" s="155"/>
      <c r="CY14" s="154"/>
      <c r="CZ14" s="154"/>
      <c r="DA14" s="154"/>
      <c r="DB14" s="155"/>
      <c r="DC14" s="154"/>
      <c r="DD14" s="154"/>
      <c r="DE14" s="154"/>
      <c r="DF14" s="155"/>
      <c r="DG14" s="154"/>
      <c r="DH14" s="154"/>
      <c r="DI14" s="154"/>
      <c r="DJ14" s="155"/>
      <c r="DK14" s="154"/>
      <c r="DL14" s="154"/>
      <c r="DM14" s="154"/>
      <c r="DN14" s="155"/>
      <c r="DO14" s="154"/>
      <c r="DP14" s="154"/>
      <c r="DQ14" s="154"/>
      <c r="DR14" s="155"/>
      <c r="DS14" s="155"/>
      <c r="DT14" s="183"/>
    </row>
    <row r="15" spans="1:124" ht="25.25" customHeight="1" x14ac:dyDescent="0.6">
      <c r="B15" s="137"/>
      <c r="C15" s="140"/>
      <c r="D15" s="102"/>
      <c r="E15" s="138"/>
      <c r="F15" s="128"/>
      <c r="G15" s="125"/>
      <c r="H15" s="141"/>
      <c r="I15" s="143"/>
      <c r="J15" s="149"/>
      <c r="K15" s="153"/>
      <c r="L15" s="245"/>
      <c r="M15" s="246"/>
      <c r="N15" s="243"/>
      <c r="O15" s="244"/>
      <c r="P15" s="41">
        <f t="shared" si="0"/>
        <v>0</v>
      </c>
      <c r="Q15" s="41">
        <f t="shared" si="1"/>
        <v>0</v>
      </c>
      <c r="R15" s="106">
        <f t="shared" si="2"/>
        <v>0</v>
      </c>
      <c r="S15" s="41">
        <f t="shared" si="3"/>
        <v>0</v>
      </c>
      <c r="T15" s="116">
        <f t="shared" si="4"/>
        <v>0</v>
      </c>
      <c r="U15" s="12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69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60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71"/>
      <c r="BU15" s="154"/>
      <c r="BV15" s="154"/>
      <c r="BW15" s="154"/>
      <c r="BX15" s="154"/>
      <c r="BY15" s="154"/>
      <c r="BZ15" s="155"/>
      <c r="CA15" s="170"/>
      <c r="CB15" s="170"/>
      <c r="CC15" s="170"/>
      <c r="CD15" s="170"/>
      <c r="CE15" s="170"/>
      <c r="CF15" s="170"/>
      <c r="CG15" s="170"/>
      <c r="CH15" s="172"/>
      <c r="CI15" s="154"/>
      <c r="CJ15" s="154"/>
      <c r="CK15" s="154"/>
      <c r="CL15" s="154"/>
      <c r="CM15" s="173"/>
      <c r="CN15" s="154"/>
      <c r="CO15" s="154"/>
      <c r="CP15" s="154"/>
      <c r="CQ15" s="154"/>
      <c r="CR15" s="154"/>
      <c r="CS15" s="157"/>
      <c r="CT15" s="155"/>
      <c r="CU15" s="154"/>
      <c r="CV15" s="154"/>
      <c r="CW15" s="154"/>
      <c r="CX15" s="155"/>
      <c r="CY15" s="154"/>
      <c r="CZ15" s="154"/>
      <c r="DA15" s="154"/>
      <c r="DB15" s="155"/>
      <c r="DC15" s="154"/>
      <c r="DD15" s="154"/>
      <c r="DE15" s="154"/>
      <c r="DF15" s="155"/>
      <c r="DG15" s="154"/>
      <c r="DH15" s="154"/>
      <c r="DI15" s="154"/>
      <c r="DJ15" s="155"/>
      <c r="DK15" s="154"/>
      <c r="DL15" s="154"/>
      <c r="DM15" s="154"/>
      <c r="DN15" s="155"/>
      <c r="DO15" s="154"/>
      <c r="DP15" s="154"/>
      <c r="DQ15" s="154"/>
      <c r="DR15" s="155"/>
      <c r="DS15" s="155"/>
      <c r="DT15" s="155"/>
    </row>
    <row r="16" spans="1:124" ht="25.25" customHeight="1" x14ac:dyDescent="0.6">
      <c r="B16" s="137"/>
      <c r="C16" s="103"/>
      <c r="D16" s="139"/>
      <c r="E16" s="102"/>
      <c r="F16" s="128"/>
      <c r="G16" s="125"/>
      <c r="H16" s="141"/>
      <c r="I16" s="143"/>
      <c r="J16" s="149"/>
      <c r="K16" s="153"/>
      <c r="L16" s="245"/>
      <c r="M16" s="246"/>
      <c r="N16" s="243"/>
      <c r="O16" s="244"/>
      <c r="P16" s="108">
        <f t="shared" si="0"/>
        <v>0</v>
      </c>
      <c r="Q16" s="106">
        <f t="shared" si="1"/>
        <v>0</v>
      </c>
      <c r="R16" s="108">
        <f t="shared" si="2"/>
        <v>0</v>
      </c>
      <c r="S16" s="108">
        <f t="shared" si="3"/>
        <v>0</v>
      </c>
      <c r="T16" s="116">
        <f t="shared" si="4"/>
        <v>0</v>
      </c>
      <c r="U16" s="12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69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60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71"/>
      <c r="BU16" s="154"/>
      <c r="BV16" s="154"/>
      <c r="BW16" s="154"/>
      <c r="BX16" s="154"/>
      <c r="BY16" s="154"/>
      <c r="BZ16" s="155"/>
      <c r="CA16" s="170"/>
      <c r="CB16" s="170"/>
      <c r="CC16" s="170"/>
      <c r="CD16" s="170"/>
      <c r="CE16" s="170"/>
      <c r="CF16" s="170"/>
      <c r="CG16" s="170"/>
      <c r="CH16" s="172"/>
      <c r="CI16" s="154"/>
      <c r="CJ16" s="154"/>
      <c r="CK16" s="154"/>
      <c r="CL16" s="154"/>
      <c r="CM16" s="173"/>
      <c r="CN16" s="154"/>
      <c r="CO16" s="154"/>
      <c r="CP16" s="154"/>
      <c r="CQ16" s="154"/>
      <c r="CR16" s="154"/>
      <c r="CS16" s="157"/>
      <c r="CT16" s="155"/>
      <c r="CU16" s="154"/>
      <c r="CV16" s="154"/>
      <c r="CW16" s="154"/>
      <c r="CX16" s="155"/>
      <c r="CY16" s="154"/>
      <c r="CZ16" s="154"/>
      <c r="DA16" s="154"/>
      <c r="DB16" s="155"/>
      <c r="DC16" s="154"/>
      <c r="DD16" s="154"/>
      <c r="DE16" s="154"/>
      <c r="DF16" s="155"/>
      <c r="DG16" s="154"/>
      <c r="DH16" s="154"/>
      <c r="DI16" s="154"/>
      <c r="DJ16" s="155"/>
      <c r="DK16" s="154"/>
      <c r="DL16" s="154"/>
      <c r="DM16" s="154"/>
      <c r="DN16" s="155"/>
      <c r="DO16" s="154"/>
      <c r="DP16" s="154"/>
      <c r="DQ16" s="154"/>
      <c r="DR16" s="155"/>
      <c r="DS16" s="155"/>
      <c r="DT16" s="155"/>
    </row>
    <row r="17" spans="2:124" ht="25.25" customHeight="1" x14ac:dyDescent="0.6">
      <c r="B17" s="136"/>
      <c r="C17" s="103"/>
      <c r="D17" s="39"/>
      <c r="E17" s="105"/>
      <c r="F17" s="100"/>
      <c r="G17" s="125"/>
      <c r="H17" s="141"/>
      <c r="I17" s="143"/>
      <c r="J17" s="149"/>
      <c r="K17" s="153"/>
      <c r="L17" s="245"/>
      <c r="M17" s="246"/>
      <c r="N17" s="243"/>
      <c r="O17" s="244"/>
      <c r="P17" s="41">
        <f t="shared" si="0"/>
        <v>0</v>
      </c>
      <c r="Q17" s="108">
        <f t="shared" si="1"/>
        <v>0</v>
      </c>
      <c r="R17" s="41">
        <f t="shared" si="2"/>
        <v>0</v>
      </c>
      <c r="S17" s="108">
        <f t="shared" si="3"/>
        <v>0</v>
      </c>
      <c r="T17" s="115">
        <f t="shared" si="4"/>
        <v>0</v>
      </c>
      <c r="U17" s="12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69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60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71"/>
      <c r="BU17" s="154"/>
      <c r="BV17" s="154"/>
      <c r="BW17" s="154"/>
      <c r="BX17" s="154"/>
      <c r="BY17" s="154"/>
      <c r="BZ17" s="155"/>
      <c r="CA17" s="170"/>
      <c r="CB17" s="170"/>
      <c r="CC17" s="170"/>
      <c r="CD17" s="170"/>
      <c r="CE17" s="170"/>
      <c r="CF17" s="170"/>
      <c r="CG17" s="170"/>
      <c r="CH17" s="172"/>
      <c r="CI17" s="154"/>
      <c r="CJ17" s="154"/>
      <c r="CK17" s="154"/>
      <c r="CL17" s="154"/>
      <c r="CM17" s="173"/>
      <c r="CN17" s="154"/>
      <c r="CO17" s="154"/>
      <c r="CP17" s="154"/>
      <c r="CQ17" s="154"/>
      <c r="CR17" s="154"/>
      <c r="CS17" s="157"/>
      <c r="CT17" s="155"/>
      <c r="CU17" s="154"/>
      <c r="CV17" s="154"/>
      <c r="CW17" s="154"/>
      <c r="CX17" s="155"/>
      <c r="CY17" s="154"/>
      <c r="CZ17" s="154"/>
      <c r="DA17" s="154"/>
      <c r="DB17" s="155"/>
      <c r="DC17" s="154"/>
      <c r="DD17" s="154"/>
      <c r="DE17" s="154"/>
      <c r="DF17" s="155"/>
      <c r="DG17" s="154"/>
      <c r="DH17" s="154"/>
      <c r="DI17" s="154"/>
      <c r="DJ17" s="155"/>
      <c r="DK17" s="154"/>
      <c r="DL17" s="154"/>
      <c r="DM17" s="154"/>
      <c r="DN17" s="155"/>
      <c r="DO17" s="154"/>
      <c r="DP17" s="154"/>
      <c r="DQ17" s="154"/>
      <c r="DR17" s="155"/>
      <c r="DS17" s="155"/>
      <c r="DT17" s="155"/>
    </row>
    <row r="18" spans="2:124" ht="25.25" customHeight="1" x14ac:dyDescent="0.6">
      <c r="B18" s="152"/>
      <c r="C18" s="103"/>
      <c r="D18" s="46"/>
      <c r="E18" s="46"/>
      <c r="F18" s="144"/>
      <c r="G18" s="125"/>
      <c r="H18" s="141"/>
      <c r="I18" s="143"/>
      <c r="J18" s="149"/>
      <c r="K18" s="153"/>
      <c r="L18" s="245"/>
      <c r="M18" s="246"/>
      <c r="N18" s="243"/>
      <c r="O18" s="244"/>
      <c r="P18" s="40">
        <f t="shared" si="0"/>
        <v>0</v>
      </c>
      <c r="Q18" s="41">
        <f t="shared" si="1"/>
        <v>0</v>
      </c>
      <c r="R18" s="41">
        <f t="shared" si="2"/>
        <v>0</v>
      </c>
      <c r="S18" s="41">
        <f t="shared" si="3"/>
        <v>0</v>
      </c>
      <c r="T18" s="116">
        <f t="shared" si="4"/>
        <v>0</v>
      </c>
      <c r="U18" s="12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69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60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71"/>
      <c r="BU18" s="154"/>
      <c r="BV18" s="154"/>
      <c r="BW18" s="154"/>
      <c r="BX18" s="154"/>
      <c r="BY18" s="154"/>
      <c r="BZ18" s="155"/>
      <c r="CA18" s="170"/>
      <c r="CB18" s="170"/>
      <c r="CC18" s="170"/>
      <c r="CD18" s="170"/>
      <c r="CE18" s="170"/>
      <c r="CF18" s="170"/>
      <c r="CG18" s="170"/>
      <c r="CH18" s="172"/>
      <c r="CI18" s="154"/>
      <c r="CJ18" s="154"/>
      <c r="CK18" s="154"/>
      <c r="CL18" s="154"/>
      <c r="CM18" s="173"/>
      <c r="CN18" s="154"/>
      <c r="CO18" s="154"/>
      <c r="CP18" s="154"/>
      <c r="CQ18" s="154"/>
      <c r="CR18" s="154"/>
      <c r="CS18" s="157"/>
      <c r="CT18" s="155"/>
      <c r="CU18" s="154"/>
      <c r="CV18" s="154"/>
      <c r="CW18" s="154"/>
      <c r="CX18" s="155"/>
      <c r="CY18" s="154"/>
      <c r="CZ18" s="154"/>
      <c r="DA18" s="154"/>
      <c r="DB18" s="155"/>
      <c r="DC18" s="154"/>
      <c r="DD18" s="154"/>
      <c r="DE18" s="154"/>
      <c r="DF18" s="155"/>
      <c r="DG18" s="154"/>
      <c r="DH18" s="154"/>
      <c r="DI18" s="154"/>
      <c r="DJ18" s="155"/>
      <c r="DK18" s="154"/>
      <c r="DL18" s="154"/>
      <c r="DM18" s="154"/>
      <c r="DN18" s="155"/>
      <c r="DO18" s="154"/>
      <c r="DP18" s="154"/>
      <c r="DQ18" s="154"/>
      <c r="DR18" s="155"/>
      <c r="DS18" s="155"/>
      <c r="DT18" s="155"/>
    </row>
    <row r="19" spans="2:124" ht="25.25" customHeight="1" x14ac:dyDescent="0.6">
      <c r="B19" s="152"/>
      <c r="C19" s="110"/>
      <c r="D19" s="105"/>
      <c r="E19" s="145"/>
      <c r="F19" s="114"/>
      <c r="G19" s="125"/>
      <c r="H19" s="141"/>
      <c r="I19" s="143"/>
      <c r="J19" s="149"/>
      <c r="K19" s="153"/>
      <c r="L19" s="245"/>
      <c r="M19" s="246"/>
      <c r="N19" s="243"/>
      <c r="O19" s="244"/>
      <c r="P19" s="106">
        <f t="shared" si="0"/>
        <v>0</v>
      </c>
      <c r="Q19" s="106">
        <f t="shared" si="1"/>
        <v>0</v>
      </c>
      <c r="R19" s="40">
        <f t="shared" si="2"/>
        <v>0</v>
      </c>
      <c r="S19" s="40">
        <f t="shared" si="3"/>
        <v>0</v>
      </c>
      <c r="T19" s="116">
        <f t="shared" si="4"/>
        <v>0</v>
      </c>
      <c r="U19" s="12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69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60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71"/>
      <c r="BU19" s="154"/>
      <c r="BV19" s="154"/>
      <c r="BW19" s="154"/>
      <c r="BX19" s="154"/>
      <c r="BY19" s="154"/>
      <c r="BZ19" s="155"/>
      <c r="CA19" s="170"/>
      <c r="CB19" s="170"/>
      <c r="CC19" s="170"/>
      <c r="CD19" s="170"/>
      <c r="CE19" s="170"/>
      <c r="CF19" s="170"/>
      <c r="CG19" s="170"/>
      <c r="CH19" s="172"/>
      <c r="CI19" s="154"/>
      <c r="CJ19" s="154"/>
      <c r="CK19" s="154"/>
      <c r="CL19" s="154"/>
      <c r="CM19" s="173"/>
      <c r="CN19" s="154"/>
      <c r="CO19" s="154"/>
      <c r="CP19" s="154"/>
      <c r="CQ19" s="154"/>
      <c r="CR19" s="154"/>
      <c r="CS19" s="157"/>
      <c r="CT19" s="155"/>
      <c r="CU19" s="154"/>
      <c r="CV19" s="154"/>
      <c r="CW19" s="154"/>
      <c r="CX19" s="155"/>
      <c r="CY19" s="154"/>
      <c r="CZ19" s="154"/>
      <c r="DA19" s="154"/>
      <c r="DB19" s="155"/>
      <c r="DC19" s="154"/>
      <c r="DD19" s="154"/>
      <c r="DE19" s="154"/>
      <c r="DF19" s="155"/>
      <c r="DG19" s="154"/>
      <c r="DH19" s="154"/>
      <c r="DI19" s="154"/>
      <c r="DJ19" s="155"/>
      <c r="DK19" s="154"/>
      <c r="DL19" s="154"/>
      <c r="DM19" s="154"/>
      <c r="DN19" s="155"/>
      <c r="DO19" s="154"/>
      <c r="DP19" s="154"/>
      <c r="DQ19" s="154"/>
      <c r="DR19" s="155"/>
      <c r="DS19" s="155"/>
      <c r="DT19" s="155"/>
    </row>
    <row r="20" spans="2:124" ht="25.25" customHeight="1" x14ac:dyDescent="0.6">
      <c r="B20" s="152"/>
      <c r="C20" s="127"/>
      <c r="D20" s="102"/>
      <c r="E20" s="102"/>
      <c r="F20" s="128"/>
      <c r="G20" s="125"/>
      <c r="H20" s="141"/>
      <c r="I20" s="143"/>
      <c r="J20" s="149"/>
      <c r="K20" s="153"/>
      <c r="L20" s="245"/>
      <c r="M20" s="246"/>
      <c r="N20" s="243"/>
      <c r="O20" s="244"/>
      <c r="P20" s="41">
        <f t="shared" si="0"/>
        <v>0</v>
      </c>
      <c r="Q20" s="41">
        <f t="shared" si="1"/>
        <v>0</v>
      </c>
      <c r="R20" s="40">
        <f t="shared" si="2"/>
        <v>0</v>
      </c>
      <c r="S20" s="40">
        <f t="shared" si="3"/>
        <v>0</v>
      </c>
      <c r="T20" s="115">
        <f t="shared" si="4"/>
        <v>0</v>
      </c>
      <c r="U20" s="12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69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60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71"/>
      <c r="BU20" s="154"/>
      <c r="BV20" s="154"/>
      <c r="BW20" s="154"/>
      <c r="BX20" s="154"/>
      <c r="BY20" s="154"/>
      <c r="BZ20" s="155"/>
      <c r="CA20" s="170"/>
      <c r="CB20" s="170"/>
      <c r="CC20" s="170"/>
      <c r="CD20" s="170"/>
      <c r="CE20" s="170"/>
      <c r="CF20" s="170"/>
      <c r="CG20" s="170"/>
      <c r="CH20" s="172"/>
      <c r="CI20" s="154"/>
      <c r="CJ20" s="154"/>
      <c r="CK20" s="154"/>
      <c r="CL20" s="154"/>
      <c r="CM20" s="173"/>
      <c r="CN20" s="154"/>
      <c r="CO20" s="154"/>
      <c r="CP20" s="154"/>
      <c r="CQ20" s="154"/>
      <c r="CR20" s="154"/>
      <c r="CS20" s="157"/>
      <c r="CT20" s="155"/>
      <c r="CU20" s="154"/>
      <c r="CV20" s="154"/>
      <c r="CW20" s="154"/>
      <c r="CX20" s="155"/>
      <c r="CY20" s="154"/>
      <c r="CZ20" s="154"/>
      <c r="DA20" s="154"/>
      <c r="DB20" s="155"/>
      <c r="DC20" s="154"/>
      <c r="DD20" s="154"/>
      <c r="DE20" s="154"/>
      <c r="DF20" s="155"/>
      <c r="DG20" s="154"/>
      <c r="DH20" s="154"/>
      <c r="DI20" s="154"/>
      <c r="DJ20" s="155"/>
      <c r="DK20" s="154"/>
      <c r="DL20" s="154"/>
      <c r="DM20" s="154"/>
      <c r="DN20" s="155"/>
      <c r="DO20" s="154"/>
      <c r="DP20" s="154"/>
      <c r="DQ20" s="154"/>
      <c r="DR20" s="155"/>
      <c r="DS20" s="155"/>
      <c r="DT20" s="155"/>
    </row>
    <row r="21" spans="2:124" ht="25.25" customHeight="1" x14ac:dyDescent="0.6">
      <c r="B21" s="137"/>
      <c r="C21" s="45"/>
      <c r="D21" s="46"/>
      <c r="E21" s="46"/>
      <c r="F21" s="100"/>
      <c r="G21" s="125"/>
      <c r="H21" s="141"/>
      <c r="I21" s="143"/>
      <c r="J21" s="149"/>
      <c r="K21" s="153"/>
      <c r="L21" s="245"/>
      <c r="M21" s="246"/>
      <c r="N21" s="243"/>
      <c r="O21" s="244"/>
      <c r="P21" s="40">
        <f t="shared" si="0"/>
        <v>0</v>
      </c>
      <c r="Q21" s="40">
        <f t="shared" si="1"/>
        <v>0</v>
      </c>
      <c r="R21" s="40">
        <f t="shared" si="2"/>
        <v>0</v>
      </c>
      <c r="S21" s="40">
        <f t="shared" si="3"/>
        <v>0</v>
      </c>
      <c r="T21" s="42">
        <f t="shared" si="4"/>
        <v>0</v>
      </c>
      <c r="U21" s="12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69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60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71"/>
      <c r="BU21" s="154"/>
      <c r="BV21" s="154"/>
      <c r="BW21" s="154"/>
      <c r="BX21" s="154"/>
      <c r="BY21" s="154"/>
      <c r="BZ21" s="155"/>
      <c r="CA21" s="170"/>
      <c r="CB21" s="170"/>
      <c r="CC21" s="170"/>
      <c r="CD21" s="170"/>
      <c r="CE21" s="170"/>
      <c r="CF21" s="170"/>
      <c r="CG21" s="170"/>
      <c r="CH21" s="172"/>
      <c r="CI21" s="154"/>
      <c r="CJ21" s="154"/>
      <c r="CK21" s="154"/>
      <c r="CL21" s="154"/>
      <c r="CM21" s="173"/>
      <c r="CN21" s="154"/>
      <c r="CO21" s="154"/>
      <c r="CP21" s="154"/>
      <c r="CQ21" s="154"/>
      <c r="CR21" s="154"/>
      <c r="CS21" s="157"/>
      <c r="CT21" s="155"/>
      <c r="CU21" s="154"/>
      <c r="CV21" s="154"/>
      <c r="CW21" s="154"/>
      <c r="CX21" s="155"/>
      <c r="CY21" s="154"/>
      <c r="CZ21" s="154"/>
      <c r="DA21" s="154"/>
      <c r="DB21" s="155"/>
      <c r="DC21" s="154"/>
      <c r="DD21" s="154"/>
      <c r="DE21" s="154"/>
      <c r="DF21" s="155"/>
      <c r="DG21" s="154"/>
      <c r="DH21" s="154"/>
      <c r="DI21" s="154"/>
      <c r="DJ21" s="155"/>
      <c r="DK21" s="154"/>
      <c r="DL21" s="154"/>
      <c r="DM21" s="154"/>
      <c r="DN21" s="155"/>
      <c r="DO21" s="154"/>
      <c r="DP21" s="154"/>
      <c r="DQ21" s="154"/>
      <c r="DR21" s="155"/>
      <c r="DS21" s="155"/>
      <c r="DT21" s="155"/>
    </row>
    <row r="22" spans="2:124" ht="25.25" customHeight="1" x14ac:dyDescent="0.6">
      <c r="B22" s="137"/>
      <c r="C22" s="109"/>
      <c r="D22" s="102"/>
      <c r="E22" s="104"/>
      <c r="F22" s="101"/>
      <c r="G22" s="125"/>
      <c r="H22" s="141"/>
      <c r="I22" s="143"/>
      <c r="J22" s="149"/>
      <c r="K22" s="153"/>
      <c r="L22" s="245"/>
      <c r="M22" s="246"/>
      <c r="N22" s="243"/>
      <c r="O22" s="244"/>
      <c r="P22" s="40">
        <f t="shared" si="0"/>
        <v>0</v>
      </c>
      <c r="Q22" s="40">
        <f t="shared" si="1"/>
        <v>0</v>
      </c>
      <c r="R22" s="40">
        <f t="shared" si="2"/>
        <v>0</v>
      </c>
      <c r="S22" s="40">
        <f t="shared" si="3"/>
        <v>0</v>
      </c>
      <c r="T22" s="42">
        <f t="shared" si="4"/>
        <v>0</v>
      </c>
      <c r="U22" s="12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69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60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71"/>
      <c r="BU22" s="154"/>
      <c r="BV22" s="154"/>
      <c r="BW22" s="154"/>
      <c r="BX22" s="154"/>
      <c r="BY22" s="154"/>
      <c r="BZ22" s="155"/>
      <c r="CA22" s="170"/>
      <c r="CB22" s="170"/>
      <c r="CC22" s="170"/>
      <c r="CD22" s="170"/>
      <c r="CE22" s="170"/>
      <c r="CF22" s="170"/>
      <c r="CG22" s="170"/>
      <c r="CH22" s="172"/>
      <c r="CI22" s="154"/>
      <c r="CJ22" s="154"/>
      <c r="CK22" s="154"/>
      <c r="CL22" s="154"/>
      <c r="CM22" s="173"/>
      <c r="CN22" s="154"/>
      <c r="CO22" s="154"/>
      <c r="CP22" s="154"/>
      <c r="CQ22" s="154"/>
      <c r="CR22" s="154"/>
      <c r="CS22" s="174"/>
      <c r="CT22" s="155"/>
      <c r="CU22" s="154"/>
      <c r="CV22" s="154"/>
      <c r="CW22" s="154"/>
      <c r="CX22" s="155"/>
      <c r="CY22" s="154"/>
      <c r="CZ22" s="154"/>
      <c r="DA22" s="154"/>
      <c r="DB22" s="155"/>
      <c r="DC22" s="154"/>
      <c r="DD22" s="154"/>
      <c r="DE22" s="154"/>
      <c r="DF22" s="155"/>
      <c r="DG22" s="154"/>
      <c r="DH22" s="154"/>
      <c r="DI22" s="154"/>
      <c r="DJ22" s="155"/>
      <c r="DK22" s="154"/>
      <c r="DL22" s="154"/>
      <c r="DM22" s="154"/>
      <c r="DN22" s="155"/>
      <c r="DO22" s="154"/>
      <c r="DP22" s="154"/>
      <c r="DQ22" s="154"/>
      <c r="DR22" s="155"/>
      <c r="DS22" s="155"/>
      <c r="DT22" s="155"/>
    </row>
    <row r="23" spans="2:124" ht="25.25" customHeight="1" x14ac:dyDescent="0.6">
      <c r="B23" s="137"/>
      <c r="C23" s="103"/>
      <c r="D23" s="39"/>
      <c r="E23" s="105"/>
      <c r="F23" s="100"/>
      <c r="G23" s="125"/>
      <c r="H23" s="141"/>
      <c r="I23" s="143"/>
      <c r="J23" s="149"/>
      <c r="K23" s="153"/>
      <c r="L23" s="245"/>
      <c r="M23" s="246"/>
      <c r="N23" s="243"/>
      <c r="O23" s="244"/>
      <c r="P23" s="40">
        <f t="shared" si="0"/>
        <v>0</v>
      </c>
      <c r="Q23" s="40">
        <f t="shared" si="1"/>
        <v>0</v>
      </c>
      <c r="R23" s="40">
        <f t="shared" si="2"/>
        <v>0</v>
      </c>
      <c r="S23" s="40">
        <f t="shared" si="3"/>
        <v>0</v>
      </c>
      <c r="T23" s="42">
        <f t="shared" si="4"/>
        <v>0</v>
      </c>
      <c r="U23" s="12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69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60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71"/>
      <c r="BU23" s="154"/>
      <c r="BV23" s="154"/>
      <c r="BW23" s="154"/>
      <c r="BX23" s="154"/>
      <c r="BY23" s="154"/>
      <c r="BZ23" s="155"/>
      <c r="CA23" s="170"/>
      <c r="CB23" s="170"/>
      <c r="CC23" s="170"/>
      <c r="CD23" s="170"/>
      <c r="CE23" s="170"/>
      <c r="CF23" s="170"/>
      <c r="CG23" s="170"/>
      <c r="CH23" s="172"/>
      <c r="CI23" s="154"/>
      <c r="CJ23" s="154"/>
      <c r="CK23" s="154"/>
      <c r="CL23" s="154"/>
      <c r="CM23" s="173"/>
      <c r="CN23" s="154"/>
      <c r="CO23" s="154"/>
      <c r="CP23" s="154"/>
      <c r="CQ23" s="154"/>
      <c r="CR23" s="154"/>
      <c r="CS23" s="175"/>
      <c r="CT23" s="155"/>
      <c r="CU23" s="154"/>
      <c r="CV23" s="154"/>
      <c r="CW23" s="154"/>
      <c r="CX23" s="155"/>
      <c r="CY23" s="154"/>
      <c r="CZ23" s="154"/>
      <c r="DA23" s="154"/>
      <c r="DB23" s="155"/>
      <c r="DC23" s="154"/>
      <c r="DD23" s="154"/>
      <c r="DE23" s="154"/>
      <c r="DF23" s="155"/>
      <c r="DG23" s="154"/>
      <c r="DH23" s="154"/>
      <c r="DI23" s="154"/>
      <c r="DJ23" s="155"/>
      <c r="DK23" s="154"/>
      <c r="DL23" s="154"/>
      <c r="DM23" s="154"/>
      <c r="DN23" s="155"/>
      <c r="DO23" s="154"/>
      <c r="DP23" s="154"/>
      <c r="DQ23" s="154"/>
      <c r="DR23" s="155"/>
      <c r="DS23" s="155"/>
      <c r="DT23" s="155"/>
    </row>
    <row r="24" spans="2:124" ht="25.25" customHeight="1" x14ac:dyDescent="0.6">
      <c r="B24" s="38"/>
      <c r="C24" s="45"/>
      <c r="D24" s="39"/>
      <c r="E24" s="39"/>
      <c r="F24" s="100"/>
      <c r="G24" s="125"/>
      <c r="H24" s="141"/>
      <c r="I24" s="143"/>
      <c r="J24" s="149"/>
      <c r="K24" s="153"/>
      <c r="L24" s="245"/>
      <c r="M24" s="246"/>
      <c r="N24" s="243"/>
      <c r="O24" s="244"/>
      <c r="P24" s="40">
        <f t="shared" si="0"/>
        <v>0</v>
      </c>
      <c r="Q24" s="40">
        <f t="shared" si="1"/>
        <v>0</v>
      </c>
      <c r="R24" s="40">
        <f t="shared" si="2"/>
        <v>0</v>
      </c>
      <c r="S24" s="40">
        <f t="shared" si="3"/>
        <v>0</v>
      </c>
      <c r="T24" s="42">
        <f t="shared" si="4"/>
        <v>0</v>
      </c>
      <c r="U24" s="12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69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60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71"/>
      <c r="BU24" s="154"/>
      <c r="BV24" s="154"/>
      <c r="BW24" s="154"/>
      <c r="BX24" s="154"/>
      <c r="BY24" s="154"/>
      <c r="BZ24" s="155"/>
      <c r="CA24" s="170"/>
      <c r="CB24" s="170"/>
      <c r="CC24" s="170"/>
      <c r="CD24" s="170"/>
      <c r="CE24" s="170"/>
      <c r="CF24" s="170"/>
      <c r="CG24" s="170"/>
      <c r="CH24" s="172"/>
      <c r="CI24" s="154"/>
      <c r="CJ24" s="154"/>
      <c r="CK24" s="154"/>
      <c r="CL24" s="154"/>
      <c r="CM24" s="173"/>
      <c r="CN24" s="154"/>
      <c r="CO24" s="154"/>
      <c r="CP24" s="154"/>
      <c r="CQ24" s="154"/>
      <c r="CR24" s="154"/>
      <c r="CS24" s="155"/>
      <c r="CT24" s="155"/>
      <c r="CU24" s="154"/>
      <c r="CV24" s="154"/>
      <c r="CW24" s="154"/>
      <c r="CX24" s="155"/>
      <c r="CY24" s="154"/>
      <c r="CZ24" s="154"/>
      <c r="DA24" s="154"/>
      <c r="DB24" s="155"/>
      <c r="DC24" s="154"/>
      <c r="DD24" s="154"/>
      <c r="DE24" s="154"/>
      <c r="DF24" s="155"/>
      <c r="DG24" s="154"/>
      <c r="DH24" s="154"/>
      <c r="DI24" s="154"/>
      <c r="DJ24" s="155"/>
      <c r="DK24" s="154"/>
      <c r="DL24" s="154"/>
      <c r="DM24" s="154"/>
      <c r="DN24" s="155"/>
      <c r="DO24" s="154"/>
      <c r="DP24" s="154"/>
      <c r="DQ24" s="154"/>
      <c r="DR24" s="155"/>
      <c r="DS24" s="155"/>
      <c r="DT24" s="155"/>
    </row>
    <row r="25" spans="2:124" ht="25.25" customHeight="1" x14ac:dyDescent="0.6">
      <c r="B25" s="38"/>
      <c r="C25" s="45"/>
      <c r="D25" s="39"/>
      <c r="E25" s="39"/>
      <c r="F25" s="100"/>
      <c r="G25" s="125"/>
      <c r="H25" s="141"/>
      <c r="I25" s="143"/>
      <c r="J25" s="149"/>
      <c r="K25" s="153"/>
      <c r="L25" s="245"/>
      <c r="M25" s="246"/>
      <c r="N25" s="243"/>
      <c r="O25" s="244"/>
      <c r="P25" s="40">
        <f t="shared" si="0"/>
        <v>0</v>
      </c>
      <c r="Q25" s="40">
        <f t="shared" si="1"/>
        <v>0</v>
      </c>
      <c r="R25" s="40">
        <f t="shared" si="2"/>
        <v>0</v>
      </c>
      <c r="S25" s="40">
        <f t="shared" si="3"/>
        <v>0</v>
      </c>
      <c r="T25" s="42">
        <f t="shared" si="4"/>
        <v>0</v>
      </c>
      <c r="U25" s="12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69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60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71"/>
      <c r="BU25" s="154"/>
      <c r="BV25" s="154"/>
      <c r="BW25" s="154"/>
      <c r="BX25" s="154"/>
      <c r="BY25" s="154"/>
      <c r="BZ25" s="155"/>
      <c r="CA25" s="170"/>
      <c r="CB25" s="170"/>
      <c r="CC25" s="170"/>
      <c r="CD25" s="170"/>
      <c r="CE25" s="170"/>
      <c r="CF25" s="170"/>
      <c r="CG25" s="170"/>
      <c r="CH25" s="172"/>
      <c r="CI25" s="154"/>
      <c r="CJ25" s="154"/>
      <c r="CK25" s="154"/>
      <c r="CL25" s="154"/>
      <c r="CM25" s="173"/>
      <c r="CN25" s="154"/>
      <c r="CO25" s="154"/>
      <c r="CP25" s="154"/>
      <c r="CQ25" s="154"/>
      <c r="CR25" s="154"/>
      <c r="CS25" s="176"/>
      <c r="CT25" s="155"/>
      <c r="CU25" s="154"/>
      <c r="CV25" s="154"/>
      <c r="CW25" s="154"/>
      <c r="CX25" s="155"/>
      <c r="CY25" s="154"/>
      <c r="CZ25" s="154"/>
      <c r="DA25" s="154"/>
      <c r="DB25" s="155"/>
      <c r="DC25" s="154"/>
      <c r="DD25" s="154"/>
      <c r="DE25" s="154"/>
      <c r="DF25" s="155"/>
      <c r="DG25" s="154"/>
      <c r="DH25" s="154"/>
      <c r="DI25" s="154"/>
      <c r="DJ25" s="155"/>
      <c r="DK25" s="154"/>
      <c r="DL25" s="154"/>
      <c r="DM25" s="154"/>
      <c r="DN25" s="155"/>
      <c r="DO25" s="154"/>
      <c r="DP25" s="154"/>
      <c r="DQ25" s="154"/>
      <c r="DR25" s="155"/>
      <c r="DS25" s="155"/>
      <c r="DT25" s="155"/>
    </row>
    <row r="26" spans="2:124" ht="25.25" customHeight="1" x14ac:dyDescent="0.6">
      <c r="B26" s="38"/>
      <c r="C26" s="45"/>
      <c r="D26" s="39"/>
      <c r="E26" s="39"/>
      <c r="F26" s="100"/>
      <c r="G26" s="125"/>
      <c r="H26" s="141"/>
      <c r="I26" s="143"/>
      <c r="J26" s="149"/>
      <c r="K26" s="153"/>
      <c r="L26" s="245"/>
      <c r="M26" s="246"/>
      <c r="N26" s="243"/>
      <c r="O26" s="244"/>
      <c r="P26" s="40">
        <f t="shared" si="0"/>
        <v>0</v>
      </c>
      <c r="Q26" s="40">
        <f t="shared" si="1"/>
        <v>0</v>
      </c>
      <c r="R26" s="40">
        <f t="shared" si="2"/>
        <v>0</v>
      </c>
      <c r="S26" s="40">
        <f t="shared" si="3"/>
        <v>0</v>
      </c>
      <c r="T26" s="42">
        <f t="shared" si="4"/>
        <v>0</v>
      </c>
      <c r="U26" s="12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69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60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71"/>
      <c r="BU26" s="154"/>
      <c r="BV26" s="154"/>
      <c r="BW26" s="154"/>
      <c r="BX26" s="154"/>
      <c r="BY26" s="154"/>
      <c r="BZ26" s="155"/>
      <c r="CA26" s="170"/>
      <c r="CB26" s="170"/>
      <c r="CC26" s="170"/>
      <c r="CD26" s="170"/>
      <c r="CE26" s="170"/>
      <c r="CF26" s="170"/>
      <c r="CG26" s="170"/>
      <c r="CH26" s="172"/>
      <c r="CI26" s="154"/>
      <c r="CJ26" s="154"/>
      <c r="CK26" s="154"/>
      <c r="CL26" s="154"/>
      <c r="CM26" s="173"/>
      <c r="CN26" s="154"/>
      <c r="CO26" s="154"/>
      <c r="CP26" s="154"/>
      <c r="CQ26" s="154"/>
      <c r="CR26" s="154"/>
      <c r="CS26" s="176"/>
      <c r="CT26" s="155"/>
      <c r="CU26" s="154"/>
      <c r="CV26" s="154"/>
      <c r="CW26" s="154"/>
      <c r="CX26" s="155"/>
      <c r="CY26" s="154"/>
      <c r="CZ26" s="154"/>
      <c r="DA26" s="154"/>
      <c r="DB26" s="155"/>
      <c r="DC26" s="154"/>
      <c r="DD26" s="154"/>
      <c r="DE26" s="154"/>
      <c r="DF26" s="155"/>
      <c r="DG26" s="154"/>
      <c r="DH26" s="154"/>
      <c r="DI26" s="154"/>
      <c r="DJ26" s="155"/>
      <c r="DK26" s="154"/>
      <c r="DL26" s="154"/>
      <c r="DM26" s="154"/>
      <c r="DN26" s="155"/>
      <c r="DO26" s="154"/>
      <c r="DP26" s="154"/>
      <c r="DQ26" s="154"/>
      <c r="DR26" s="155"/>
      <c r="DS26" s="155"/>
      <c r="DT26" s="155"/>
    </row>
    <row r="27" spans="2:124" ht="25.25" customHeight="1" x14ac:dyDescent="0.6">
      <c r="B27" s="38"/>
      <c r="C27" s="45"/>
      <c r="D27" s="39"/>
      <c r="E27" s="39"/>
      <c r="F27" s="100"/>
      <c r="G27" s="125"/>
      <c r="H27" s="141"/>
      <c r="I27" s="143"/>
      <c r="J27" s="149"/>
      <c r="K27" s="153"/>
      <c r="L27" s="245"/>
      <c r="M27" s="246"/>
      <c r="N27" s="243"/>
      <c r="O27" s="244"/>
      <c r="P27" s="40">
        <f t="shared" si="0"/>
        <v>0</v>
      </c>
      <c r="Q27" s="40">
        <f t="shared" si="1"/>
        <v>0</v>
      </c>
      <c r="R27" s="40">
        <f t="shared" si="2"/>
        <v>0</v>
      </c>
      <c r="S27" s="40">
        <f t="shared" si="3"/>
        <v>0</v>
      </c>
      <c r="T27" s="42">
        <f t="shared" si="4"/>
        <v>0</v>
      </c>
      <c r="U27" s="12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69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60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71"/>
      <c r="BU27" s="154"/>
      <c r="BV27" s="154"/>
      <c r="BW27" s="154"/>
      <c r="BX27" s="154"/>
      <c r="BY27" s="154"/>
      <c r="BZ27" s="155"/>
      <c r="CA27" s="170"/>
      <c r="CB27" s="170"/>
      <c r="CC27" s="170"/>
      <c r="CD27" s="170"/>
      <c r="CE27" s="170"/>
      <c r="CF27" s="170"/>
      <c r="CG27" s="170"/>
      <c r="CH27" s="172"/>
      <c r="CI27" s="154"/>
      <c r="CJ27" s="154"/>
      <c r="CK27" s="154"/>
      <c r="CL27" s="154"/>
      <c r="CM27" s="173"/>
      <c r="CN27" s="154"/>
      <c r="CO27" s="154"/>
      <c r="CP27" s="154"/>
      <c r="CQ27" s="154"/>
      <c r="CR27" s="154"/>
      <c r="CS27" s="176"/>
      <c r="CT27" s="155"/>
      <c r="CU27" s="154"/>
      <c r="CV27" s="154"/>
      <c r="CW27" s="154"/>
      <c r="CX27" s="155"/>
      <c r="CY27" s="154"/>
      <c r="CZ27" s="154"/>
      <c r="DA27" s="154"/>
      <c r="DB27" s="155"/>
      <c r="DC27" s="154"/>
      <c r="DD27" s="154"/>
      <c r="DE27" s="154"/>
      <c r="DF27" s="155"/>
      <c r="DG27" s="154"/>
      <c r="DH27" s="154"/>
      <c r="DI27" s="154"/>
      <c r="DJ27" s="155"/>
      <c r="DK27" s="154"/>
      <c r="DL27" s="154"/>
      <c r="DM27" s="154"/>
      <c r="DN27" s="155"/>
      <c r="DO27" s="154"/>
      <c r="DP27" s="154"/>
      <c r="DQ27" s="154"/>
      <c r="DR27" s="155"/>
      <c r="DS27" s="155"/>
      <c r="DT27" s="155"/>
    </row>
    <row r="28" spans="2:124" ht="25.25" customHeight="1" x14ac:dyDescent="0.6">
      <c r="B28" s="38"/>
      <c r="C28" s="45"/>
      <c r="D28" s="39"/>
      <c r="E28" s="39"/>
      <c r="F28" s="100"/>
      <c r="G28" s="125"/>
      <c r="H28" s="141"/>
      <c r="I28" s="143"/>
      <c r="J28" s="149"/>
      <c r="K28" s="153"/>
      <c r="L28" s="245"/>
      <c r="M28" s="246"/>
      <c r="N28" s="243"/>
      <c r="O28" s="244"/>
      <c r="P28" s="40">
        <f t="shared" si="0"/>
        <v>0</v>
      </c>
      <c r="Q28" s="40">
        <f t="shared" si="1"/>
        <v>0</v>
      </c>
      <c r="R28" s="40">
        <f t="shared" si="2"/>
        <v>0</v>
      </c>
      <c r="S28" s="40">
        <f t="shared" si="3"/>
        <v>0</v>
      </c>
      <c r="T28" s="42">
        <f t="shared" si="4"/>
        <v>0</v>
      </c>
      <c r="U28" s="12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69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60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71"/>
      <c r="BU28" s="154"/>
      <c r="BV28" s="154"/>
      <c r="BW28" s="154"/>
      <c r="BX28" s="154"/>
      <c r="BY28" s="154"/>
      <c r="BZ28" s="155"/>
      <c r="CA28" s="170"/>
      <c r="CB28" s="170"/>
      <c r="CC28" s="170"/>
      <c r="CD28" s="170"/>
      <c r="CE28" s="170"/>
      <c r="CF28" s="170"/>
      <c r="CG28" s="170"/>
      <c r="CH28" s="172"/>
      <c r="CI28" s="154"/>
      <c r="CJ28" s="154"/>
      <c r="CK28" s="154"/>
      <c r="CL28" s="154"/>
      <c r="CM28" s="173"/>
      <c r="CN28" s="154"/>
      <c r="CO28" s="154"/>
      <c r="CP28" s="154"/>
      <c r="CQ28" s="154"/>
      <c r="CR28" s="154"/>
      <c r="CS28" s="176"/>
      <c r="CT28" s="155"/>
      <c r="CU28" s="154"/>
      <c r="CV28" s="154"/>
      <c r="CW28" s="154"/>
      <c r="CX28" s="155"/>
      <c r="CY28" s="154"/>
      <c r="CZ28" s="154"/>
      <c r="DA28" s="154"/>
      <c r="DB28" s="155"/>
      <c r="DC28" s="154"/>
      <c r="DD28" s="154"/>
      <c r="DE28" s="154"/>
      <c r="DF28" s="155"/>
      <c r="DG28" s="154"/>
      <c r="DH28" s="154"/>
      <c r="DI28" s="154"/>
      <c r="DJ28" s="155"/>
      <c r="DK28" s="154"/>
      <c r="DL28" s="154"/>
      <c r="DM28" s="154"/>
      <c r="DN28" s="155"/>
      <c r="DO28" s="154"/>
      <c r="DP28" s="154"/>
      <c r="DQ28" s="154"/>
      <c r="DR28" s="155"/>
      <c r="DS28" s="155"/>
      <c r="DT28" s="155"/>
    </row>
    <row r="29" spans="2:124" ht="25.25" customHeight="1" x14ac:dyDescent="0.6">
      <c r="B29" s="38"/>
      <c r="C29" s="103"/>
      <c r="D29" s="46"/>
      <c r="E29" s="46"/>
      <c r="F29" s="114"/>
      <c r="G29" s="125"/>
      <c r="H29" s="141"/>
      <c r="I29" s="143"/>
      <c r="J29" s="149"/>
      <c r="K29" s="153"/>
      <c r="L29" s="245"/>
      <c r="M29" s="246"/>
      <c r="N29" s="243"/>
      <c r="O29" s="244"/>
      <c r="P29" s="40">
        <f t="shared" si="0"/>
        <v>0</v>
      </c>
      <c r="Q29" s="40">
        <f t="shared" si="1"/>
        <v>0</v>
      </c>
      <c r="R29" s="40">
        <f t="shared" si="2"/>
        <v>0</v>
      </c>
      <c r="S29" s="40">
        <f t="shared" si="3"/>
        <v>0</v>
      </c>
      <c r="T29" s="42">
        <f t="shared" si="4"/>
        <v>0</v>
      </c>
      <c r="U29" s="12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69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60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71"/>
      <c r="BU29" s="154"/>
      <c r="BV29" s="154"/>
      <c r="BW29" s="154"/>
      <c r="BX29" s="154"/>
      <c r="BY29" s="154"/>
      <c r="BZ29" s="155"/>
      <c r="CA29" s="170"/>
      <c r="CB29" s="170"/>
      <c r="CC29" s="170"/>
      <c r="CD29" s="170"/>
      <c r="CE29" s="170"/>
      <c r="CF29" s="170"/>
      <c r="CG29" s="170"/>
      <c r="CH29" s="172"/>
      <c r="CI29" s="154"/>
      <c r="CJ29" s="154"/>
      <c r="CK29" s="154"/>
      <c r="CL29" s="154"/>
      <c r="CM29" s="173"/>
      <c r="CN29" s="154"/>
      <c r="CO29" s="154"/>
      <c r="CP29" s="154"/>
      <c r="CQ29" s="154"/>
      <c r="CR29" s="154"/>
      <c r="CS29" s="176"/>
      <c r="CT29" s="155"/>
      <c r="CU29" s="154"/>
      <c r="CV29" s="154"/>
      <c r="CW29" s="154"/>
      <c r="CX29" s="155"/>
      <c r="CY29" s="154"/>
      <c r="CZ29" s="154"/>
      <c r="DA29" s="154"/>
      <c r="DB29" s="155"/>
      <c r="DC29" s="154"/>
      <c r="DD29" s="154"/>
      <c r="DE29" s="154"/>
      <c r="DF29" s="155"/>
      <c r="DG29" s="154"/>
      <c r="DH29" s="154"/>
      <c r="DI29" s="154"/>
      <c r="DJ29" s="155"/>
      <c r="DK29" s="154"/>
      <c r="DL29" s="154"/>
      <c r="DM29" s="154"/>
      <c r="DN29" s="155"/>
      <c r="DO29" s="154"/>
      <c r="DP29" s="154"/>
      <c r="DQ29" s="154"/>
      <c r="DR29" s="155"/>
      <c r="DS29" s="155"/>
      <c r="DT29" s="155"/>
    </row>
    <row r="30" spans="2:124" ht="25.25" customHeight="1" x14ac:dyDescent="0.6">
      <c r="B30" s="38"/>
      <c r="C30" s="112"/>
      <c r="D30" s="113"/>
      <c r="E30" s="113"/>
      <c r="F30" s="111"/>
      <c r="G30" s="125"/>
      <c r="H30" s="141"/>
      <c r="I30" s="143"/>
      <c r="J30" s="149"/>
      <c r="K30" s="153"/>
      <c r="L30" s="245"/>
      <c r="M30" s="246"/>
      <c r="N30" s="243"/>
      <c r="O30" s="244"/>
      <c r="P30" s="41">
        <f t="shared" si="0"/>
        <v>0</v>
      </c>
      <c r="Q30" s="41">
        <f t="shared" si="1"/>
        <v>0</v>
      </c>
      <c r="R30" s="41">
        <f t="shared" si="2"/>
        <v>0</v>
      </c>
      <c r="S30" s="41">
        <f t="shared" si="3"/>
        <v>0</v>
      </c>
      <c r="T30" s="115">
        <f t="shared" si="4"/>
        <v>0</v>
      </c>
      <c r="U30" s="12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69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60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71"/>
      <c r="BU30" s="154"/>
      <c r="BV30" s="154"/>
      <c r="BW30" s="154"/>
      <c r="BX30" s="154"/>
      <c r="BY30" s="154"/>
      <c r="BZ30" s="155"/>
      <c r="CA30" s="170"/>
      <c r="CB30" s="170"/>
      <c r="CC30" s="170"/>
      <c r="CD30" s="170"/>
      <c r="CE30" s="170"/>
      <c r="CF30" s="170"/>
      <c r="CG30" s="170"/>
      <c r="CH30" s="172"/>
      <c r="CI30" s="154"/>
      <c r="CJ30" s="154"/>
      <c r="CK30" s="154"/>
      <c r="CL30" s="154"/>
      <c r="CM30" s="173"/>
      <c r="CN30" s="154"/>
      <c r="CO30" s="154"/>
      <c r="CP30" s="154"/>
      <c r="CQ30" s="154"/>
      <c r="CR30" s="154"/>
      <c r="CS30" s="155"/>
      <c r="CT30" s="155"/>
      <c r="CU30" s="154"/>
      <c r="CV30" s="154"/>
      <c r="CW30" s="154"/>
      <c r="CX30" s="155"/>
      <c r="CY30" s="154"/>
      <c r="CZ30" s="154"/>
      <c r="DA30" s="154"/>
      <c r="DB30" s="155"/>
      <c r="DC30" s="154"/>
      <c r="DD30" s="154"/>
      <c r="DE30" s="154"/>
      <c r="DF30" s="155"/>
      <c r="DG30" s="154"/>
      <c r="DH30" s="154"/>
      <c r="DI30" s="154"/>
      <c r="DJ30" s="155"/>
      <c r="DK30" s="154"/>
      <c r="DL30" s="154"/>
      <c r="DM30" s="154"/>
      <c r="DN30" s="155"/>
      <c r="DO30" s="154"/>
      <c r="DP30" s="154"/>
      <c r="DQ30" s="154"/>
      <c r="DR30" s="155"/>
      <c r="DS30" s="155"/>
      <c r="DT30" s="155"/>
    </row>
    <row r="31" spans="2:124" ht="25.25" customHeight="1" x14ac:dyDescent="0.6">
      <c r="B31" s="38"/>
      <c r="C31" s="45"/>
      <c r="D31" s="39"/>
      <c r="E31" s="39"/>
      <c r="F31" s="100"/>
      <c r="G31" s="125"/>
      <c r="H31" s="141"/>
      <c r="I31" s="143"/>
      <c r="J31" s="149"/>
      <c r="K31" s="153"/>
      <c r="L31" s="245"/>
      <c r="M31" s="246"/>
      <c r="N31" s="243"/>
      <c r="O31" s="244"/>
      <c r="P31" s="41">
        <f t="shared" si="0"/>
        <v>0</v>
      </c>
      <c r="Q31" s="41">
        <f t="shared" si="1"/>
        <v>0</v>
      </c>
      <c r="R31" s="41">
        <f t="shared" si="2"/>
        <v>0</v>
      </c>
      <c r="S31" s="41">
        <f t="shared" si="3"/>
        <v>0</v>
      </c>
      <c r="T31" s="115">
        <f t="shared" si="4"/>
        <v>0</v>
      </c>
      <c r="U31" s="12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69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60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71"/>
      <c r="BU31" s="154"/>
      <c r="BV31" s="154"/>
      <c r="BW31" s="154"/>
      <c r="BX31" s="154"/>
      <c r="BY31" s="154"/>
      <c r="BZ31" s="155"/>
      <c r="CA31" s="170"/>
      <c r="CB31" s="170"/>
      <c r="CC31" s="170"/>
      <c r="CD31" s="170"/>
      <c r="CE31" s="170"/>
      <c r="CF31" s="170"/>
      <c r="CG31" s="170"/>
      <c r="CH31" s="172"/>
      <c r="CI31" s="154"/>
      <c r="CJ31" s="154"/>
      <c r="CK31" s="154"/>
      <c r="CL31" s="154"/>
      <c r="CM31" s="173"/>
      <c r="CN31" s="154"/>
      <c r="CO31" s="154"/>
      <c r="CP31" s="154"/>
      <c r="CQ31" s="154"/>
      <c r="CR31" s="154"/>
      <c r="CS31" s="155"/>
      <c r="CT31" s="155"/>
      <c r="CU31" s="154"/>
      <c r="CV31" s="154"/>
      <c r="CW31" s="154"/>
      <c r="CX31" s="155"/>
      <c r="CY31" s="154"/>
      <c r="CZ31" s="154"/>
      <c r="DA31" s="154"/>
      <c r="DB31" s="155"/>
      <c r="DC31" s="154"/>
      <c r="DD31" s="154"/>
      <c r="DE31" s="154"/>
      <c r="DF31" s="155"/>
      <c r="DG31" s="154"/>
      <c r="DH31" s="154"/>
      <c r="DI31" s="154"/>
      <c r="DJ31" s="155"/>
      <c r="DK31" s="154"/>
      <c r="DL31" s="154"/>
      <c r="DM31" s="154"/>
      <c r="DN31" s="155"/>
      <c r="DO31" s="154"/>
      <c r="DP31" s="154"/>
      <c r="DQ31" s="154"/>
      <c r="DR31" s="155"/>
      <c r="DS31" s="155"/>
      <c r="DT31" s="155"/>
    </row>
    <row r="32" spans="2:124" ht="25.25" customHeight="1" x14ac:dyDescent="0.6">
      <c r="B32" s="38"/>
      <c r="C32" s="45"/>
      <c r="D32" s="39"/>
      <c r="E32" s="39"/>
      <c r="F32" s="100"/>
      <c r="G32" s="125"/>
      <c r="H32" s="141"/>
      <c r="I32" s="143"/>
      <c r="J32" s="149"/>
      <c r="K32" s="153"/>
      <c r="L32" s="245"/>
      <c r="M32" s="246"/>
      <c r="N32" s="243"/>
      <c r="O32" s="244"/>
      <c r="P32" s="41">
        <f t="shared" si="0"/>
        <v>0</v>
      </c>
      <c r="Q32" s="41">
        <f t="shared" si="1"/>
        <v>0</v>
      </c>
      <c r="R32" s="41">
        <f t="shared" si="2"/>
        <v>0</v>
      </c>
      <c r="S32" s="41">
        <f t="shared" si="3"/>
        <v>0</v>
      </c>
      <c r="T32" s="115">
        <f t="shared" si="4"/>
        <v>0</v>
      </c>
      <c r="U32" s="12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69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60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71"/>
      <c r="BU32" s="154"/>
      <c r="BV32" s="154"/>
      <c r="BW32" s="154"/>
      <c r="BX32" s="154"/>
      <c r="BY32" s="154"/>
      <c r="BZ32" s="155"/>
      <c r="CA32" s="170"/>
      <c r="CB32" s="170"/>
      <c r="CC32" s="170"/>
      <c r="CD32" s="170"/>
      <c r="CE32" s="170"/>
      <c r="CF32" s="170"/>
      <c r="CG32" s="170"/>
      <c r="CH32" s="172"/>
      <c r="CI32" s="154"/>
      <c r="CJ32" s="154"/>
      <c r="CK32" s="154"/>
      <c r="CL32" s="154"/>
      <c r="CM32" s="173"/>
      <c r="CN32" s="154"/>
      <c r="CO32" s="154"/>
      <c r="CP32" s="154"/>
      <c r="CQ32" s="154"/>
      <c r="CR32" s="154"/>
      <c r="CS32" s="155"/>
      <c r="CT32" s="155"/>
      <c r="CU32" s="154"/>
      <c r="CV32" s="154"/>
      <c r="CW32" s="154"/>
      <c r="CX32" s="155"/>
      <c r="CY32" s="154"/>
      <c r="CZ32" s="154"/>
      <c r="DA32" s="154"/>
      <c r="DB32" s="155"/>
      <c r="DC32" s="154"/>
      <c r="DD32" s="154"/>
      <c r="DE32" s="154"/>
      <c r="DF32" s="155"/>
      <c r="DG32" s="154"/>
      <c r="DH32" s="154"/>
      <c r="DI32" s="154"/>
      <c r="DJ32" s="155"/>
      <c r="DK32" s="154"/>
      <c r="DL32" s="154"/>
      <c r="DM32" s="154"/>
      <c r="DN32" s="155"/>
      <c r="DO32" s="154"/>
      <c r="DP32" s="154"/>
      <c r="DQ32" s="154"/>
      <c r="DR32" s="155"/>
      <c r="DS32" s="155"/>
      <c r="DT32" s="155"/>
    </row>
    <row r="33" spans="1:124" ht="25.25" customHeight="1" x14ac:dyDescent="0.6">
      <c r="B33" s="38"/>
      <c r="C33" s="45"/>
      <c r="D33" s="39"/>
      <c r="E33" s="39"/>
      <c r="F33" s="100"/>
      <c r="G33" s="125"/>
      <c r="H33" s="141"/>
      <c r="I33" s="143"/>
      <c r="J33" s="149"/>
      <c r="K33" s="153"/>
      <c r="L33" s="245"/>
      <c r="M33" s="246"/>
      <c r="N33" s="243"/>
      <c r="O33" s="244"/>
      <c r="P33" s="41">
        <f t="shared" si="0"/>
        <v>0</v>
      </c>
      <c r="Q33" s="41">
        <f t="shared" si="1"/>
        <v>0</v>
      </c>
      <c r="R33" s="41">
        <f t="shared" si="2"/>
        <v>0</v>
      </c>
      <c r="S33" s="41">
        <f t="shared" si="3"/>
        <v>0</v>
      </c>
      <c r="T33" s="115">
        <f t="shared" si="4"/>
        <v>0</v>
      </c>
      <c r="U33" s="12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69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60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71"/>
      <c r="BU33" s="154"/>
      <c r="BV33" s="154"/>
      <c r="BW33" s="154"/>
      <c r="BX33" s="154"/>
      <c r="BY33" s="154"/>
      <c r="BZ33" s="155"/>
      <c r="CA33" s="170"/>
      <c r="CB33" s="170"/>
      <c r="CC33" s="170"/>
      <c r="CD33" s="170"/>
      <c r="CE33" s="170"/>
      <c r="CF33" s="170"/>
      <c r="CG33" s="170"/>
      <c r="CH33" s="172"/>
      <c r="CI33" s="154"/>
      <c r="CJ33" s="154"/>
      <c r="CK33" s="154"/>
      <c r="CL33" s="154"/>
      <c r="CM33" s="173"/>
      <c r="CN33" s="154"/>
      <c r="CO33" s="154"/>
      <c r="CP33" s="154"/>
      <c r="CQ33" s="154"/>
      <c r="CR33" s="154"/>
      <c r="CS33" s="155"/>
      <c r="CT33" s="155"/>
      <c r="CU33" s="154"/>
      <c r="CV33" s="154"/>
      <c r="CW33" s="154"/>
      <c r="CX33" s="155"/>
      <c r="CY33" s="154"/>
      <c r="CZ33" s="154"/>
      <c r="DA33" s="154"/>
      <c r="DB33" s="155"/>
      <c r="DC33" s="154"/>
      <c r="DD33" s="154"/>
      <c r="DE33" s="154"/>
      <c r="DF33" s="155"/>
      <c r="DG33" s="154"/>
      <c r="DH33" s="154"/>
      <c r="DI33" s="154"/>
      <c r="DJ33" s="155"/>
      <c r="DK33" s="154"/>
      <c r="DL33" s="154"/>
      <c r="DM33" s="154"/>
      <c r="DN33" s="155"/>
      <c r="DO33" s="154"/>
      <c r="DP33" s="154"/>
      <c r="DQ33" s="154"/>
      <c r="DR33" s="155"/>
      <c r="DS33" s="155"/>
      <c r="DT33" s="155"/>
    </row>
    <row r="34" spans="1:124" ht="25.25" customHeight="1" x14ac:dyDescent="0.6">
      <c r="B34" s="38"/>
      <c r="C34" s="45"/>
      <c r="D34" s="39"/>
      <c r="E34" s="39"/>
      <c r="F34" s="100"/>
      <c r="G34" s="125"/>
      <c r="H34" s="141"/>
      <c r="I34" s="143"/>
      <c r="J34" s="149"/>
      <c r="K34" s="153"/>
      <c r="L34" s="245"/>
      <c r="M34" s="246"/>
      <c r="N34" s="243"/>
      <c r="O34" s="244"/>
      <c r="P34" s="41">
        <f t="shared" si="0"/>
        <v>0</v>
      </c>
      <c r="Q34" s="41">
        <f t="shared" si="1"/>
        <v>0</v>
      </c>
      <c r="R34" s="41">
        <f t="shared" si="2"/>
        <v>0</v>
      </c>
      <c r="S34" s="41">
        <f t="shared" si="3"/>
        <v>0</v>
      </c>
      <c r="T34" s="115">
        <f t="shared" si="4"/>
        <v>0</v>
      </c>
      <c r="U34" s="12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69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60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71"/>
      <c r="BU34" s="154"/>
      <c r="BV34" s="154"/>
      <c r="BW34" s="154"/>
      <c r="BX34" s="154"/>
      <c r="BY34" s="154"/>
      <c r="BZ34" s="155"/>
      <c r="CA34" s="170"/>
      <c r="CB34" s="170"/>
      <c r="CC34" s="170"/>
      <c r="CD34" s="170"/>
      <c r="CE34" s="170"/>
      <c r="CF34" s="170"/>
      <c r="CG34" s="170"/>
      <c r="CH34" s="172"/>
      <c r="CI34" s="154"/>
      <c r="CJ34" s="154"/>
      <c r="CK34" s="154"/>
      <c r="CL34" s="154"/>
      <c r="CM34" s="173"/>
      <c r="CN34" s="154"/>
      <c r="CO34" s="154"/>
      <c r="CP34" s="154"/>
      <c r="CQ34" s="154"/>
      <c r="CR34" s="154"/>
      <c r="CS34" s="155"/>
      <c r="CT34" s="155"/>
      <c r="CU34" s="154"/>
      <c r="CV34" s="154"/>
      <c r="CW34" s="154"/>
      <c r="CX34" s="155"/>
      <c r="CY34" s="154"/>
      <c r="CZ34" s="154"/>
      <c r="DA34" s="154"/>
      <c r="DB34" s="155"/>
      <c r="DC34" s="154"/>
      <c r="DD34" s="154"/>
      <c r="DE34" s="154"/>
      <c r="DF34" s="155"/>
      <c r="DG34" s="154"/>
      <c r="DH34" s="154"/>
      <c r="DI34" s="154"/>
      <c r="DJ34" s="155"/>
      <c r="DK34" s="154"/>
      <c r="DL34" s="154"/>
      <c r="DM34" s="154"/>
      <c r="DN34" s="155"/>
      <c r="DO34" s="154"/>
      <c r="DP34" s="154"/>
      <c r="DQ34" s="154"/>
      <c r="DR34" s="155"/>
      <c r="DS34" s="155"/>
      <c r="DT34" s="155"/>
    </row>
    <row r="35" spans="1:124" ht="25.25" customHeight="1" x14ac:dyDescent="0.6">
      <c r="B35" s="38"/>
      <c r="C35" s="45"/>
      <c r="D35" s="39"/>
      <c r="E35" s="39"/>
      <c r="F35" s="100"/>
      <c r="G35" s="125"/>
      <c r="H35" s="141"/>
      <c r="I35" s="143"/>
      <c r="J35" s="149"/>
      <c r="K35" s="153"/>
      <c r="L35" s="245"/>
      <c r="M35" s="246"/>
      <c r="N35" s="243"/>
      <c r="O35" s="244"/>
      <c r="P35" s="41">
        <f t="shared" si="0"/>
        <v>0</v>
      </c>
      <c r="Q35" s="41">
        <f t="shared" si="1"/>
        <v>0</v>
      </c>
      <c r="R35" s="41">
        <f t="shared" si="2"/>
        <v>0</v>
      </c>
      <c r="S35" s="41">
        <f t="shared" si="3"/>
        <v>0</v>
      </c>
      <c r="T35" s="115">
        <f t="shared" si="4"/>
        <v>0</v>
      </c>
      <c r="U35" s="12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69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60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71"/>
      <c r="BU35" s="154"/>
      <c r="BV35" s="154"/>
      <c r="BW35" s="154"/>
      <c r="BX35" s="154"/>
      <c r="BY35" s="154"/>
      <c r="BZ35" s="155"/>
      <c r="CA35" s="170"/>
      <c r="CB35" s="170"/>
      <c r="CC35" s="170"/>
      <c r="CD35" s="170"/>
      <c r="CE35" s="170"/>
      <c r="CF35" s="170"/>
      <c r="CG35" s="170"/>
      <c r="CH35" s="172"/>
      <c r="CI35" s="154"/>
      <c r="CJ35" s="154"/>
      <c r="CK35" s="154"/>
      <c r="CL35" s="154"/>
      <c r="CM35" s="173"/>
      <c r="CN35" s="154"/>
      <c r="CO35" s="154"/>
      <c r="CP35" s="154"/>
      <c r="CQ35" s="154"/>
      <c r="CR35" s="154"/>
      <c r="CS35" s="155"/>
      <c r="CT35" s="155"/>
      <c r="CU35" s="154"/>
      <c r="CV35" s="154"/>
      <c r="CW35" s="154"/>
      <c r="CX35" s="155"/>
      <c r="CY35" s="154"/>
      <c r="CZ35" s="154"/>
      <c r="DA35" s="154"/>
      <c r="DB35" s="155"/>
      <c r="DC35" s="154"/>
      <c r="DD35" s="154"/>
      <c r="DE35" s="154"/>
      <c r="DF35" s="155"/>
      <c r="DG35" s="154"/>
      <c r="DH35" s="154"/>
      <c r="DI35" s="154"/>
      <c r="DJ35" s="155"/>
      <c r="DK35" s="154"/>
      <c r="DL35" s="154"/>
      <c r="DM35" s="154"/>
      <c r="DN35" s="155"/>
      <c r="DO35" s="154"/>
      <c r="DP35" s="154"/>
      <c r="DQ35" s="154"/>
      <c r="DR35" s="155"/>
      <c r="DS35" s="155"/>
      <c r="DT35" s="155"/>
    </row>
    <row r="36" spans="1:124" ht="25.25" customHeight="1" x14ac:dyDescent="0.6">
      <c r="B36" s="38"/>
      <c r="C36" s="45"/>
      <c r="D36" s="39"/>
      <c r="E36" s="39"/>
      <c r="F36" s="100"/>
      <c r="G36" s="125"/>
      <c r="H36" s="141"/>
      <c r="I36" s="143"/>
      <c r="J36" s="149"/>
      <c r="K36" s="153"/>
      <c r="L36" s="245"/>
      <c r="M36" s="246"/>
      <c r="N36" s="243"/>
      <c r="O36" s="244"/>
      <c r="P36" s="41">
        <f t="shared" si="0"/>
        <v>0</v>
      </c>
      <c r="Q36" s="41">
        <f t="shared" si="1"/>
        <v>0</v>
      </c>
      <c r="R36" s="41">
        <f t="shared" si="2"/>
        <v>0</v>
      </c>
      <c r="S36" s="41">
        <f t="shared" si="3"/>
        <v>0</v>
      </c>
      <c r="T36" s="115">
        <f t="shared" si="4"/>
        <v>0</v>
      </c>
      <c r="U36" s="12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69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60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71"/>
      <c r="BU36" s="154"/>
      <c r="BV36" s="154"/>
      <c r="BW36" s="154"/>
      <c r="BX36" s="154"/>
      <c r="BY36" s="154"/>
      <c r="BZ36" s="155"/>
      <c r="CA36" s="170"/>
      <c r="CB36" s="170"/>
      <c r="CC36" s="170"/>
      <c r="CD36" s="170"/>
      <c r="CE36" s="170"/>
      <c r="CF36" s="170"/>
      <c r="CG36" s="170"/>
      <c r="CH36" s="172"/>
      <c r="CI36" s="154"/>
      <c r="CJ36" s="154"/>
      <c r="CK36" s="154"/>
      <c r="CL36" s="154"/>
      <c r="CM36" s="173"/>
      <c r="CN36" s="154"/>
      <c r="CO36" s="154"/>
      <c r="CP36" s="154"/>
      <c r="CQ36" s="154"/>
      <c r="CR36" s="154"/>
      <c r="CS36" s="155"/>
      <c r="CT36" s="155"/>
      <c r="CU36" s="154"/>
      <c r="CV36" s="154"/>
      <c r="CW36" s="154"/>
      <c r="CX36" s="155"/>
      <c r="CY36" s="154"/>
      <c r="CZ36" s="154"/>
      <c r="DA36" s="154"/>
      <c r="DB36" s="155"/>
      <c r="DC36" s="154"/>
      <c r="DD36" s="154"/>
      <c r="DE36" s="154"/>
      <c r="DF36" s="155"/>
      <c r="DG36" s="154"/>
      <c r="DH36" s="154"/>
      <c r="DI36" s="154"/>
      <c r="DJ36" s="155"/>
      <c r="DK36" s="154"/>
      <c r="DL36" s="154"/>
      <c r="DM36" s="154"/>
      <c r="DN36" s="155"/>
      <c r="DO36" s="154"/>
      <c r="DP36" s="154"/>
      <c r="DQ36" s="154"/>
      <c r="DR36" s="155"/>
      <c r="DS36" s="155"/>
      <c r="DT36" s="155"/>
    </row>
    <row r="37" spans="1:124" ht="25.25" customHeight="1" x14ac:dyDescent="0.6">
      <c r="B37" s="38"/>
      <c r="C37" s="45"/>
      <c r="D37" s="39"/>
      <c r="E37" s="39"/>
      <c r="F37" s="100"/>
      <c r="G37" s="125"/>
      <c r="H37" s="141"/>
      <c r="I37" s="143"/>
      <c r="J37" s="149"/>
      <c r="K37" s="153"/>
      <c r="L37" s="245"/>
      <c r="M37" s="246"/>
      <c r="N37" s="243"/>
      <c r="O37" s="244"/>
      <c r="P37" s="41">
        <f t="shared" si="0"/>
        <v>0</v>
      </c>
      <c r="Q37" s="41">
        <f t="shared" si="1"/>
        <v>0</v>
      </c>
      <c r="R37" s="41">
        <f t="shared" si="2"/>
        <v>0</v>
      </c>
      <c r="S37" s="41">
        <f t="shared" si="3"/>
        <v>0</v>
      </c>
      <c r="T37" s="115">
        <f t="shared" si="4"/>
        <v>0</v>
      </c>
      <c r="U37" s="12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69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60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71"/>
      <c r="BU37" s="154"/>
      <c r="BV37" s="154"/>
      <c r="BW37" s="154"/>
      <c r="BX37" s="154"/>
      <c r="BY37" s="154"/>
      <c r="BZ37" s="155"/>
      <c r="CA37" s="170"/>
      <c r="CB37" s="170"/>
      <c r="CC37" s="170"/>
      <c r="CD37" s="170"/>
      <c r="CE37" s="170"/>
      <c r="CF37" s="170"/>
      <c r="CG37" s="170"/>
      <c r="CH37" s="172"/>
      <c r="CI37" s="154"/>
      <c r="CJ37" s="154"/>
      <c r="CK37" s="154"/>
      <c r="CL37" s="154"/>
      <c r="CM37" s="173"/>
      <c r="CN37" s="154"/>
      <c r="CO37" s="154"/>
      <c r="CP37" s="154"/>
      <c r="CQ37" s="154"/>
      <c r="CR37" s="154"/>
      <c r="CS37" s="155"/>
      <c r="CT37" s="155"/>
      <c r="CU37" s="154"/>
      <c r="CV37" s="154"/>
      <c r="CW37" s="154"/>
      <c r="CX37" s="155"/>
      <c r="CY37" s="154"/>
      <c r="CZ37" s="154"/>
      <c r="DA37" s="154"/>
      <c r="DB37" s="155"/>
      <c r="DC37" s="154"/>
      <c r="DD37" s="154"/>
      <c r="DE37" s="154"/>
      <c r="DF37" s="155"/>
      <c r="DG37" s="154"/>
      <c r="DH37" s="154"/>
      <c r="DI37" s="154"/>
      <c r="DJ37" s="155"/>
      <c r="DK37" s="154"/>
      <c r="DL37" s="154"/>
      <c r="DM37" s="154"/>
      <c r="DN37" s="155"/>
      <c r="DO37" s="154"/>
      <c r="DP37" s="154"/>
      <c r="DQ37" s="154"/>
      <c r="DR37" s="155"/>
      <c r="DS37" s="155"/>
      <c r="DT37" s="155"/>
    </row>
    <row r="38" spans="1:124" ht="25.25" customHeight="1" x14ac:dyDescent="0.6">
      <c r="B38" s="38"/>
      <c r="C38" s="45"/>
      <c r="D38" s="39"/>
      <c r="E38" s="39"/>
      <c r="F38" s="100"/>
      <c r="G38" s="125"/>
      <c r="H38" s="141"/>
      <c r="I38" s="143"/>
      <c r="J38" s="149"/>
      <c r="K38" s="153"/>
      <c r="L38" s="245"/>
      <c r="M38" s="246"/>
      <c r="N38" s="243"/>
      <c r="O38" s="244"/>
      <c r="P38" s="41">
        <f t="shared" si="0"/>
        <v>0</v>
      </c>
      <c r="Q38" s="41">
        <f t="shared" si="1"/>
        <v>0</v>
      </c>
      <c r="R38" s="41">
        <f t="shared" si="2"/>
        <v>0</v>
      </c>
      <c r="S38" s="41">
        <f t="shared" si="3"/>
        <v>0</v>
      </c>
      <c r="T38" s="115">
        <f t="shared" si="4"/>
        <v>0</v>
      </c>
      <c r="U38" s="12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69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60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71"/>
      <c r="BU38" s="154"/>
      <c r="BV38" s="154"/>
      <c r="BW38" s="154"/>
      <c r="BX38" s="154"/>
      <c r="BY38" s="154"/>
      <c r="BZ38" s="155"/>
      <c r="CA38" s="170"/>
      <c r="CB38" s="170"/>
      <c r="CC38" s="170"/>
      <c r="CD38" s="170"/>
      <c r="CE38" s="170"/>
      <c r="CF38" s="170"/>
      <c r="CG38" s="170"/>
      <c r="CH38" s="172"/>
      <c r="CI38" s="154"/>
      <c r="CJ38" s="154"/>
      <c r="CK38" s="154"/>
      <c r="CL38" s="154"/>
      <c r="CM38" s="173"/>
      <c r="CN38" s="154"/>
      <c r="CO38" s="154"/>
      <c r="CP38" s="154"/>
      <c r="CQ38" s="154"/>
      <c r="CR38" s="154"/>
      <c r="CS38" s="155"/>
      <c r="CT38" s="155"/>
      <c r="CU38" s="154"/>
      <c r="CV38" s="154"/>
      <c r="CW38" s="154"/>
      <c r="CX38" s="155"/>
      <c r="CY38" s="154"/>
      <c r="CZ38" s="154"/>
      <c r="DA38" s="154"/>
      <c r="DB38" s="155"/>
      <c r="DC38" s="154"/>
      <c r="DD38" s="154"/>
      <c r="DE38" s="154"/>
      <c r="DF38" s="155"/>
      <c r="DG38" s="154"/>
      <c r="DH38" s="154"/>
      <c r="DI38" s="154"/>
      <c r="DJ38" s="155"/>
      <c r="DK38" s="154"/>
      <c r="DL38" s="154"/>
      <c r="DM38" s="154"/>
      <c r="DN38" s="155"/>
      <c r="DO38" s="154"/>
      <c r="DP38" s="154"/>
      <c r="DQ38" s="154"/>
      <c r="DR38" s="155"/>
      <c r="DS38" s="155"/>
      <c r="DT38" s="155"/>
    </row>
    <row r="39" spans="1:124" ht="27" customHeight="1" x14ac:dyDescent="0.6">
      <c r="B39" s="38"/>
      <c r="C39" s="45"/>
      <c r="D39" s="39"/>
      <c r="E39" s="39"/>
      <c r="F39" s="100"/>
      <c r="G39" s="125"/>
      <c r="H39" s="141"/>
      <c r="I39" s="143"/>
      <c r="J39" s="149"/>
      <c r="K39" s="153"/>
      <c r="L39" s="245"/>
      <c r="M39" s="246"/>
      <c r="N39" s="243"/>
      <c r="O39" s="244"/>
      <c r="P39" s="41">
        <f t="shared" si="0"/>
        <v>0</v>
      </c>
      <c r="Q39" s="41">
        <f t="shared" si="1"/>
        <v>0</v>
      </c>
      <c r="R39" s="41">
        <f t="shared" si="2"/>
        <v>0</v>
      </c>
      <c r="S39" s="41">
        <f t="shared" si="3"/>
        <v>0</v>
      </c>
      <c r="T39" s="115">
        <f t="shared" si="4"/>
        <v>0</v>
      </c>
      <c r="U39" s="12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69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60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71"/>
      <c r="BU39" s="154"/>
      <c r="BV39" s="154"/>
      <c r="BW39" s="154"/>
      <c r="BX39" s="154"/>
      <c r="BY39" s="154"/>
      <c r="BZ39" s="155"/>
      <c r="CA39" s="170"/>
      <c r="CB39" s="170"/>
      <c r="CC39" s="170"/>
      <c r="CD39" s="170"/>
      <c r="CE39" s="170"/>
      <c r="CF39" s="170"/>
      <c r="CG39" s="170"/>
      <c r="CH39" s="172"/>
      <c r="CI39" s="154"/>
      <c r="CJ39" s="154"/>
      <c r="CK39" s="154"/>
      <c r="CL39" s="154"/>
      <c r="CM39" s="173"/>
      <c r="CN39" s="154"/>
      <c r="CO39" s="154"/>
      <c r="CP39" s="154"/>
      <c r="CQ39" s="154"/>
      <c r="CR39" s="154"/>
      <c r="CS39" s="155"/>
      <c r="CT39" s="155"/>
      <c r="CU39" s="154"/>
      <c r="CV39" s="154"/>
      <c r="CW39" s="154"/>
      <c r="CX39" s="155"/>
      <c r="CY39" s="154"/>
      <c r="CZ39" s="154"/>
      <c r="DA39" s="154"/>
      <c r="DB39" s="155"/>
      <c r="DC39" s="154"/>
      <c r="DD39" s="154"/>
      <c r="DE39" s="154"/>
      <c r="DF39" s="155"/>
      <c r="DG39" s="154"/>
      <c r="DH39" s="154"/>
      <c r="DI39" s="154"/>
      <c r="DJ39" s="155"/>
      <c r="DK39" s="154"/>
      <c r="DL39" s="154"/>
      <c r="DM39" s="154"/>
      <c r="DN39" s="155"/>
      <c r="DO39" s="154"/>
      <c r="DP39" s="154"/>
      <c r="DQ39" s="154"/>
      <c r="DR39" s="155"/>
      <c r="DS39" s="155"/>
      <c r="DT39" s="155"/>
    </row>
    <row r="40" spans="1:124" ht="25.25" customHeight="1" thickBot="1" x14ac:dyDescent="0.65">
      <c r="B40" s="136"/>
      <c r="C40" s="45"/>
      <c r="D40" s="46"/>
      <c r="E40" s="46"/>
      <c r="F40" s="114"/>
      <c r="G40" s="125"/>
      <c r="H40" s="141"/>
      <c r="I40" s="143"/>
      <c r="J40" s="149"/>
      <c r="K40" s="153"/>
      <c r="L40" s="255"/>
      <c r="M40" s="256"/>
      <c r="N40" s="294"/>
      <c r="O40" s="295"/>
      <c r="P40" s="146">
        <f>(G40*H40)*0.0001</f>
        <v>0</v>
      </c>
      <c r="Q40" s="146">
        <f>J40*P40</f>
        <v>0</v>
      </c>
      <c r="R40" s="146">
        <f>(G40*0.01)*J40</f>
        <v>0</v>
      </c>
      <c r="S40" s="146">
        <f>(G40*H40*I40*J40)*0.000001</f>
        <v>0</v>
      </c>
      <c r="T40" s="147">
        <f>(Q40*(I40*0.01)*2.7)*1000</f>
        <v>0</v>
      </c>
      <c r="U40" s="12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69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60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71"/>
      <c r="BU40" s="154"/>
      <c r="BV40" s="154"/>
      <c r="BW40" s="154"/>
      <c r="BX40" s="154"/>
      <c r="BY40" s="154"/>
      <c r="BZ40" s="155"/>
      <c r="CA40" s="170"/>
      <c r="CB40" s="170"/>
      <c r="CC40" s="170"/>
      <c r="CD40" s="170"/>
      <c r="CE40" s="170"/>
      <c r="CF40" s="170"/>
      <c r="CG40" s="170"/>
      <c r="CH40" s="172"/>
      <c r="CI40" s="154"/>
      <c r="CJ40" s="154"/>
      <c r="CK40" s="154"/>
      <c r="CL40" s="154"/>
      <c r="CM40" s="173"/>
      <c r="CN40" s="154"/>
      <c r="CO40" s="154"/>
      <c r="CP40" s="154"/>
      <c r="CQ40" s="154"/>
      <c r="CR40" s="154"/>
      <c r="CS40" s="155"/>
      <c r="CT40" s="155"/>
      <c r="CU40" s="154"/>
      <c r="CV40" s="154"/>
      <c r="CW40" s="154"/>
      <c r="CX40" s="155"/>
      <c r="CY40" s="154"/>
      <c r="CZ40" s="154"/>
      <c r="DA40" s="154"/>
      <c r="DB40" s="155"/>
      <c r="DC40" s="154"/>
      <c r="DD40" s="154"/>
      <c r="DE40" s="154"/>
      <c r="DF40" s="155"/>
      <c r="DG40" s="154"/>
      <c r="DH40" s="154"/>
      <c r="DI40" s="154"/>
      <c r="DJ40" s="155"/>
      <c r="DK40" s="154"/>
      <c r="DL40" s="154"/>
      <c r="DM40" s="154"/>
      <c r="DN40" s="155"/>
      <c r="DO40" s="154"/>
      <c r="DP40" s="154"/>
      <c r="DQ40" s="154"/>
      <c r="DR40" s="155"/>
      <c r="DS40" s="155"/>
      <c r="DT40" s="155"/>
    </row>
    <row r="41" spans="1:124" ht="25.25" customHeight="1" thickBot="1" x14ac:dyDescent="0.65">
      <c r="B41" s="88" t="s">
        <v>29</v>
      </c>
      <c r="C41" s="89"/>
      <c r="D41" s="89"/>
      <c r="E41" s="89"/>
      <c r="F41" s="88"/>
      <c r="G41" s="89"/>
      <c r="H41" s="89"/>
      <c r="I41" s="89"/>
      <c r="J41" s="266"/>
      <c r="K41" s="267"/>
      <c r="L41" s="30"/>
      <c r="M41" s="30"/>
      <c r="N41" s="150"/>
      <c r="O41" s="150"/>
      <c r="P41" s="14"/>
      <c r="Q41" s="14"/>
      <c r="R41" s="14"/>
      <c r="S41" s="14"/>
      <c r="T41" s="7"/>
      <c r="U41" s="7"/>
      <c r="V41" s="177"/>
      <c r="W41" s="177"/>
      <c r="X41" s="177"/>
      <c r="Y41" s="177"/>
      <c r="Z41" s="177"/>
      <c r="AA41" s="177"/>
      <c r="AB41" s="177"/>
      <c r="AC41" s="178"/>
      <c r="AD41" s="178"/>
      <c r="AE41" s="178"/>
      <c r="AF41" s="178"/>
      <c r="AG41" s="179"/>
      <c r="AH41" s="179"/>
      <c r="AI41" s="179"/>
      <c r="AJ41" s="179"/>
      <c r="AK41" s="179"/>
      <c r="AL41" s="179"/>
      <c r="AM41" s="179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7"/>
      <c r="AY41" s="157"/>
      <c r="AZ41" s="157"/>
      <c r="BA41" s="157"/>
      <c r="BB41" s="157"/>
      <c r="BC41" s="157"/>
      <c r="BD41" s="157"/>
      <c r="BE41" s="157"/>
      <c r="BF41" s="157"/>
      <c r="BG41" s="160"/>
      <c r="BH41" s="177"/>
      <c r="BI41" s="177"/>
      <c r="BJ41" s="177"/>
      <c r="BK41" s="177"/>
      <c r="BL41" s="177"/>
      <c r="BM41" s="177"/>
      <c r="BN41" s="177"/>
      <c r="BO41" s="178"/>
      <c r="BP41" s="178"/>
      <c r="BQ41" s="178"/>
      <c r="BR41" s="178"/>
      <c r="BS41" s="179"/>
      <c r="BT41" s="179"/>
      <c r="BU41" s="179"/>
      <c r="BV41" s="179"/>
      <c r="BW41" s="179"/>
      <c r="BX41" s="179"/>
      <c r="BY41" s="179"/>
      <c r="BZ41" s="155"/>
      <c r="CA41" s="177"/>
      <c r="CB41" s="177"/>
      <c r="CC41" s="177"/>
      <c r="CD41" s="177"/>
      <c r="CE41" s="177"/>
      <c r="CF41" s="177"/>
      <c r="CG41" s="177"/>
      <c r="CH41" s="178"/>
      <c r="CI41" s="178"/>
      <c r="CJ41" s="178"/>
      <c r="CK41" s="178"/>
      <c r="CL41" s="179"/>
      <c r="CM41" s="179"/>
      <c r="CN41" s="179"/>
      <c r="CO41" s="179"/>
      <c r="CP41" s="179"/>
      <c r="CQ41" s="179"/>
      <c r="CR41" s="179"/>
      <c r="CS41" s="155"/>
      <c r="CT41" s="155"/>
      <c r="CU41" s="155"/>
      <c r="CV41" s="155"/>
      <c r="CW41" s="155"/>
      <c r="CX41" s="155"/>
      <c r="CY41" s="155"/>
      <c r="CZ41" s="155"/>
      <c r="DA41" s="155"/>
      <c r="DB41" s="155"/>
      <c r="DC41" s="155"/>
      <c r="DD41" s="155"/>
      <c r="DE41" s="155"/>
      <c r="DF41" s="155"/>
      <c r="DG41" s="155"/>
      <c r="DH41" s="155"/>
      <c r="DI41" s="155"/>
      <c r="DJ41" s="155"/>
      <c r="DK41" s="155"/>
      <c r="DL41" s="155"/>
      <c r="DM41" s="155"/>
      <c r="DN41" s="155"/>
      <c r="DO41" s="155"/>
      <c r="DP41" s="155"/>
      <c r="DQ41" s="155"/>
      <c r="DR41" s="155"/>
      <c r="DS41" s="155"/>
      <c r="DT41" s="155"/>
    </row>
    <row r="42" spans="1:124" ht="21.75" customHeight="1" x14ac:dyDescent="0.6">
      <c r="B42" s="257" t="s">
        <v>14</v>
      </c>
      <c r="C42" s="258"/>
      <c r="D42" s="257" t="s">
        <v>8</v>
      </c>
      <c r="E42" s="229"/>
      <c r="F42" s="258"/>
      <c r="G42" s="29" t="s">
        <v>16</v>
      </c>
      <c r="H42" s="29" t="s">
        <v>13</v>
      </c>
      <c r="I42" s="29" t="s">
        <v>17</v>
      </c>
      <c r="J42" s="296" t="s">
        <v>15</v>
      </c>
      <c r="K42" s="297"/>
      <c r="L42" s="13"/>
      <c r="M42" s="247" t="s">
        <v>27</v>
      </c>
      <c r="N42" s="248"/>
      <c r="O42" s="249"/>
      <c r="P42" s="28" t="s">
        <v>8</v>
      </c>
      <c r="Q42" s="29" t="s">
        <v>12</v>
      </c>
      <c r="R42" s="29" t="s">
        <v>13</v>
      </c>
      <c r="S42" s="29" t="s">
        <v>17</v>
      </c>
      <c r="T42" s="29" t="s">
        <v>15</v>
      </c>
      <c r="U42" s="14"/>
      <c r="V42" s="180"/>
      <c r="W42" s="180"/>
      <c r="X42" s="155"/>
      <c r="Y42" s="181"/>
      <c r="Z42" s="181"/>
      <c r="AA42" s="181"/>
      <c r="AB42" s="181"/>
      <c r="AC42" s="181"/>
      <c r="AD42" s="181"/>
      <c r="AE42" s="155"/>
      <c r="AF42" s="155"/>
      <c r="AG42" s="155"/>
      <c r="AH42" s="155"/>
      <c r="AI42" s="182"/>
      <c r="AJ42" s="182"/>
      <c r="AK42" s="155"/>
      <c r="AL42" s="182"/>
      <c r="AM42" s="170"/>
      <c r="AN42" s="155"/>
      <c r="AO42" s="155"/>
      <c r="AP42" s="155"/>
      <c r="AQ42" s="155"/>
      <c r="AR42" s="155"/>
      <c r="AS42" s="160"/>
      <c r="AT42" s="160"/>
      <c r="AU42" s="160"/>
      <c r="AV42" s="160"/>
      <c r="AW42" s="160"/>
      <c r="AX42" s="170"/>
      <c r="AY42" s="170"/>
      <c r="AZ42" s="170"/>
      <c r="BA42" s="170"/>
      <c r="BB42" s="170"/>
      <c r="BC42" s="170"/>
      <c r="BD42" s="172"/>
      <c r="BE42" s="172"/>
      <c r="BF42" s="172"/>
      <c r="BG42" s="172"/>
      <c r="BH42" s="157"/>
      <c r="BI42" s="157"/>
      <c r="BJ42" s="157"/>
      <c r="BK42" s="157"/>
      <c r="BL42" s="157"/>
      <c r="BM42" s="155"/>
      <c r="BN42" s="155"/>
      <c r="BO42" s="155"/>
      <c r="BP42" s="155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55"/>
      <c r="CB42" s="155"/>
      <c r="CC42" s="155"/>
      <c r="CD42" s="155"/>
      <c r="CE42" s="155"/>
      <c r="CF42" s="155"/>
      <c r="CG42" s="155"/>
      <c r="CH42" s="155"/>
      <c r="CI42" s="155"/>
      <c r="CJ42" s="155"/>
      <c r="CK42" s="155"/>
      <c r="CL42" s="155"/>
      <c r="CM42" s="155"/>
      <c r="CN42" s="155"/>
      <c r="CO42" s="155"/>
      <c r="CP42" s="155"/>
      <c r="CQ42" s="155"/>
      <c r="CR42" s="155"/>
      <c r="CS42" s="155"/>
      <c r="CT42" s="155"/>
      <c r="CU42" s="155"/>
      <c r="CV42" s="155"/>
      <c r="CW42" s="155"/>
      <c r="CX42" s="155"/>
      <c r="CY42" s="155"/>
      <c r="CZ42" s="155"/>
      <c r="DA42" s="155"/>
      <c r="DB42" s="155"/>
      <c r="DC42" s="155"/>
      <c r="DD42" s="155"/>
      <c r="DE42" s="155"/>
      <c r="DF42" s="155"/>
      <c r="DG42" s="155"/>
      <c r="DH42" s="155"/>
      <c r="DI42" s="155"/>
      <c r="DJ42" s="155"/>
      <c r="DK42" s="155"/>
      <c r="DL42" s="155"/>
      <c r="DM42" s="155"/>
      <c r="DN42" s="155"/>
      <c r="DO42" s="155"/>
      <c r="DP42" s="155"/>
      <c r="DQ42" s="155"/>
      <c r="DR42" s="155"/>
      <c r="DS42" s="155"/>
      <c r="DT42" s="155"/>
    </row>
    <row r="43" spans="1:124" ht="21" customHeight="1" x14ac:dyDescent="0.45">
      <c r="A43" s="49" t="str" cm="1">
        <f t="array" ref="A43" xml:space="preserve"> IFERROR(_xlfn.UNIQUE(_xlfn._xlws.FILTER(I11:I40,I11:I40&lt;&gt;"")),"")</f>
        <v/>
      </c>
      <c r="B43" s="260" t="str">
        <f>IF(ISBLANK(A43),"",A43)</f>
        <v/>
      </c>
      <c r="C43" s="261"/>
      <c r="D43" s="241">
        <f t="shared" ref="D43:D49" si="5">SUMIF($I$10:$I$40,B43,$J$10:$J$40)</f>
        <v>0</v>
      </c>
      <c r="E43" s="259"/>
      <c r="F43" s="242"/>
      <c r="G43" s="6">
        <f t="shared" ref="G43:G49" si="6">SUMIF($I$10:$I$40,B43,$Q$10:$Q$40)</f>
        <v>0</v>
      </c>
      <c r="H43" s="6">
        <f t="shared" ref="H43:H49" si="7">SUMIF($I$10:$I$40,B43,$R$10:$R$40)</f>
        <v>0</v>
      </c>
      <c r="I43" s="6">
        <f t="shared" ref="I43:I49" si="8">SUMIF($I$10:$I$40,B43,$S$10:$S$40)</f>
        <v>0</v>
      </c>
      <c r="J43" s="241">
        <f t="shared" ref="J43:J49" si="9">SUMIF($I$10:$I$40,B43,$T$10:$T$40)</f>
        <v>0</v>
      </c>
      <c r="K43" s="242"/>
      <c r="M43" s="247"/>
      <c r="N43" s="248"/>
      <c r="O43" s="249"/>
      <c r="P43" s="18">
        <f>SUM(J10:J40)</f>
        <v>0</v>
      </c>
      <c r="Q43" s="19">
        <f>SUM(Q10:Q40)</f>
        <v>0</v>
      </c>
      <c r="R43" s="19">
        <f>SUM(R10:R40)</f>
        <v>0</v>
      </c>
      <c r="S43" s="19">
        <f>SUM(S10:S40)</f>
        <v>0</v>
      </c>
      <c r="T43" s="34">
        <f>SUM(T10:T40)</f>
        <v>0</v>
      </c>
      <c r="U43" s="47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7"/>
      <c r="BJ43" s="157"/>
      <c r="BK43" s="157"/>
      <c r="BL43" s="157"/>
      <c r="BM43" s="155"/>
      <c r="BN43" s="155"/>
      <c r="BO43" s="155"/>
      <c r="BP43" s="155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55"/>
      <c r="CB43" s="155"/>
      <c r="CC43" s="155"/>
      <c r="CD43" s="155"/>
      <c r="CE43" s="155"/>
      <c r="CF43" s="155"/>
      <c r="CG43" s="155"/>
      <c r="CH43" s="155"/>
      <c r="CI43" s="155"/>
      <c r="CJ43" s="155"/>
      <c r="CK43" s="155"/>
      <c r="CL43" s="155"/>
      <c r="CM43" s="155"/>
      <c r="CN43" s="155"/>
      <c r="CO43" s="155"/>
      <c r="CP43" s="155"/>
      <c r="CQ43" s="155"/>
      <c r="CR43" s="155"/>
      <c r="CS43" s="155"/>
      <c r="CT43" s="155"/>
      <c r="CU43" s="155"/>
      <c r="CV43" s="155"/>
      <c r="CW43" s="155"/>
      <c r="CX43" s="155"/>
      <c r="CY43" s="155"/>
      <c r="CZ43" s="155"/>
      <c r="DA43" s="155"/>
      <c r="DB43" s="155"/>
      <c r="DC43" s="155"/>
      <c r="DD43" s="155"/>
      <c r="DE43" s="155"/>
      <c r="DF43" s="155"/>
      <c r="DG43" s="155"/>
      <c r="DH43" s="155"/>
      <c r="DI43" s="155"/>
      <c r="DJ43" s="155"/>
      <c r="DK43" s="155"/>
      <c r="DL43" s="155"/>
      <c r="DM43" s="155"/>
      <c r="DN43" s="155"/>
      <c r="DO43" s="155"/>
      <c r="DP43" s="155"/>
      <c r="DQ43" s="155"/>
      <c r="DR43" s="155"/>
      <c r="DS43" s="155"/>
      <c r="DT43" s="155"/>
    </row>
    <row r="44" spans="1:124" ht="20.25" customHeight="1" x14ac:dyDescent="0.45">
      <c r="A44" s="49"/>
      <c r="B44" s="260" t="str">
        <f>IF(ISBLANK(A44),"",A44)</f>
        <v/>
      </c>
      <c r="C44" s="261"/>
      <c r="D44" s="241">
        <f t="shared" si="5"/>
        <v>0</v>
      </c>
      <c r="E44" s="259"/>
      <c r="F44" s="242"/>
      <c r="G44" s="6">
        <f t="shared" si="6"/>
        <v>0</v>
      </c>
      <c r="H44" s="6">
        <f t="shared" si="7"/>
        <v>0</v>
      </c>
      <c r="I44" s="6">
        <f t="shared" si="8"/>
        <v>0</v>
      </c>
      <c r="J44" s="241">
        <f t="shared" si="9"/>
        <v>0</v>
      </c>
      <c r="K44" s="242"/>
      <c r="M44" s="262" t="str">
        <f>G4</f>
        <v>NARUDŽBA:</v>
      </c>
      <c r="N44" s="263"/>
      <c r="O44" s="289">
        <f>H4</f>
        <v>0</v>
      </c>
      <c r="P44" s="271" t="s">
        <v>25</v>
      </c>
      <c r="Q44" s="272"/>
      <c r="R44" s="275">
        <f>O4</f>
        <v>0</v>
      </c>
      <c r="S44" s="276"/>
      <c r="T44" s="277"/>
      <c r="U44" s="31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7"/>
      <c r="BK44" s="157"/>
      <c r="BL44" s="157"/>
      <c r="BM44" s="155"/>
      <c r="BN44" s="155"/>
      <c r="BO44" s="155"/>
      <c r="BP44" s="155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55"/>
      <c r="CB44" s="155"/>
      <c r="CC44" s="155"/>
      <c r="CD44" s="155"/>
      <c r="CE44" s="155"/>
      <c r="CF44" s="155"/>
      <c r="CG44" s="155"/>
      <c r="CH44" s="155"/>
      <c r="CI44" s="155"/>
      <c r="CJ44" s="155"/>
      <c r="CK44" s="155"/>
      <c r="CL44" s="155"/>
      <c r="CM44" s="155"/>
      <c r="CN44" s="155"/>
      <c r="CO44" s="155"/>
      <c r="CP44" s="155"/>
      <c r="CQ44" s="155"/>
      <c r="CR44" s="155"/>
      <c r="CS44" s="155"/>
      <c r="CT44" s="155"/>
      <c r="CU44" s="155"/>
      <c r="CV44" s="155"/>
      <c r="CW44" s="155"/>
      <c r="CX44" s="155"/>
      <c r="CY44" s="155"/>
      <c r="CZ44" s="155"/>
      <c r="DA44" s="155"/>
      <c r="DB44" s="155"/>
      <c r="DC44" s="155"/>
      <c r="DD44" s="155"/>
      <c r="DE44" s="155"/>
      <c r="DF44" s="155"/>
      <c r="DG44" s="155"/>
      <c r="DH44" s="155"/>
      <c r="DI44" s="155"/>
      <c r="DJ44" s="155"/>
      <c r="DK44" s="155"/>
      <c r="DL44" s="155"/>
      <c r="DM44" s="155"/>
      <c r="DN44" s="155"/>
      <c r="DO44" s="155"/>
      <c r="DP44" s="155"/>
      <c r="DQ44" s="155"/>
      <c r="DR44" s="155"/>
      <c r="DS44" s="155"/>
      <c r="DT44" s="155"/>
    </row>
    <row r="45" spans="1:124" ht="20.25" customHeight="1" x14ac:dyDescent="0.45">
      <c r="A45" s="49"/>
      <c r="B45" s="260" t="str">
        <f>IF(ISBLANK(A45),"",A45)</f>
        <v/>
      </c>
      <c r="C45" s="261"/>
      <c r="D45" s="241">
        <f t="shared" si="5"/>
        <v>0</v>
      </c>
      <c r="E45" s="259"/>
      <c r="F45" s="242"/>
      <c r="G45" s="6">
        <f t="shared" si="6"/>
        <v>0</v>
      </c>
      <c r="H45" s="6">
        <f t="shared" si="7"/>
        <v>0</v>
      </c>
      <c r="I45" s="6">
        <f t="shared" si="8"/>
        <v>0</v>
      </c>
      <c r="J45" s="241">
        <f t="shared" si="9"/>
        <v>0</v>
      </c>
      <c r="K45" s="242"/>
      <c r="L45" s="4"/>
      <c r="M45" s="264"/>
      <c r="N45" s="265"/>
      <c r="O45" s="290"/>
      <c r="P45" s="273"/>
      <c r="Q45" s="274"/>
      <c r="R45" s="278"/>
      <c r="S45" s="279"/>
      <c r="T45" s="280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157"/>
      <c r="BK45" s="157"/>
      <c r="BL45" s="157"/>
      <c r="BM45" s="155"/>
      <c r="BN45" s="155"/>
      <c r="BO45" s="155"/>
      <c r="BP45" s="155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55"/>
      <c r="CB45" s="155"/>
      <c r="CC45" s="155"/>
      <c r="CD45" s="155"/>
      <c r="CE45" s="155"/>
      <c r="CF45" s="155"/>
      <c r="CG45" s="155"/>
      <c r="CH45" s="155"/>
      <c r="CI45" s="155"/>
      <c r="CJ45" s="155"/>
      <c r="CK45" s="155"/>
      <c r="CL45" s="155"/>
      <c r="CM45" s="155"/>
      <c r="CN45" s="155"/>
      <c r="CO45" s="155"/>
      <c r="CP45" s="155"/>
      <c r="CQ45" s="155"/>
      <c r="CR45" s="155"/>
      <c r="CS45" s="155"/>
      <c r="CT45" s="155"/>
      <c r="CU45" s="155"/>
      <c r="CV45" s="155"/>
      <c r="CW45" s="155"/>
      <c r="CX45" s="155"/>
      <c r="CY45" s="155"/>
      <c r="CZ45" s="155"/>
      <c r="DA45" s="155"/>
      <c r="DB45" s="155"/>
      <c r="DC45" s="155"/>
      <c r="DD45" s="155"/>
      <c r="DE45" s="155"/>
      <c r="DF45" s="155"/>
      <c r="DG45" s="155"/>
      <c r="DH45" s="155"/>
      <c r="DI45" s="155"/>
      <c r="DJ45" s="155"/>
      <c r="DK45" s="155"/>
      <c r="DL45" s="155"/>
      <c r="DM45" s="155"/>
      <c r="DN45" s="155"/>
      <c r="DO45" s="155"/>
      <c r="DP45" s="155"/>
      <c r="DQ45" s="155"/>
      <c r="DR45" s="155"/>
      <c r="DS45" s="155"/>
      <c r="DT45" s="155"/>
    </row>
    <row r="46" spans="1:124" ht="20.25" customHeight="1" x14ac:dyDescent="0.45">
      <c r="A46" s="49"/>
      <c r="B46" s="260" t="str">
        <f>IF(ISBLANK(A46),"",A46)</f>
        <v/>
      </c>
      <c r="C46" s="261"/>
      <c r="D46" s="241">
        <f t="shared" si="5"/>
        <v>0</v>
      </c>
      <c r="E46" s="259"/>
      <c r="F46" s="242"/>
      <c r="G46" s="6">
        <f t="shared" si="6"/>
        <v>0</v>
      </c>
      <c r="H46" s="6">
        <f t="shared" si="7"/>
        <v>0</v>
      </c>
      <c r="I46" s="6">
        <f t="shared" si="8"/>
        <v>0</v>
      </c>
      <c r="J46" s="241">
        <f t="shared" si="9"/>
        <v>0</v>
      </c>
      <c r="K46" s="242"/>
      <c r="M46" s="306" t="s">
        <v>7</v>
      </c>
      <c r="N46" s="307"/>
      <c r="O46" s="287">
        <f>G5</f>
        <v>0</v>
      </c>
      <c r="P46" s="310">
        <f>O5</f>
        <v>0</v>
      </c>
      <c r="Q46" s="311"/>
      <c r="R46" s="311"/>
      <c r="S46" s="311"/>
      <c r="T46" s="312"/>
      <c r="U46" s="11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5"/>
      <c r="BN46" s="155"/>
      <c r="BO46" s="155"/>
      <c r="BP46" s="155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55"/>
      <c r="CB46" s="155"/>
      <c r="CC46" s="155"/>
      <c r="CD46" s="155"/>
      <c r="CE46" s="155"/>
      <c r="CF46" s="155"/>
      <c r="CG46" s="155"/>
      <c r="CH46" s="155"/>
      <c r="CI46" s="155"/>
      <c r="CJ46" s="155"/>
      <c r="CK46" s="155"/>
      <c r="CL46" s="155"/>
      <c r="CM46" s="155"/>
      <c r="CN46" s="155"/>
      <c r="CO46" s="155"/>
      <c r="CP46" s="155"/>
      <c r="CQ46" s="155"/>
      <c r="CR46" s="155"/>
      <c r="CS46" s="155"/>
      <c r="CT46" s="155"/>
      <c r="CU46" s="155"/>
      <c r="CV46" s="155"/>
      <c r="CW46" s="155"/>
      <c r="CX46" s="155"/>
      <c r="CY46" s="155"/>
      <c r="CZ46" s="155"/>
      <c r="DA46" s="155"/>
      <c r="DB46" s="155"/>
      <c r="DC46" s="155"/>
      <c r="DD46" s="155"/>
      <c r="DE46" s="155"/>
      <c r="DF46" s="155"/>
      <c r="DG46" s="155"/>
      <c r="DH46" s="155"/>
      <c r="DI46" s="155"/>
      <c r="DJ46" s="155"/>
      <c r="DK46" s="155"/>
      <c r="DL46" s="155"/>
      <c r="DM46" s="155"/>
      <c r="DN46" s="155"/>
      <c r="DO46" s="155"/>
      <c r="DP46" s="155"/>
      <c r="DQ46" s="155"/>
      <c r="DR46" s="155"/>
      <c r="DS46" s="155"/>
      <c r="DT46" s="155"/>
    </row>
    <row r="47" spans="1:124" ht="20.25" customHeight="1" x14ac:dyDescent="0.45">
      <c r="A47" s="49"/>
      <c r="B47" s="260" t="str">
        <f>IF(ISBLANK(A47),"",A47)</f>
        <v/>
      </c>
      <c r="C47" s="261"/>
      <c r="D47" s="241">
        <f t="shared" si="5"/>
        <v>0</v>
      </c>
      <c r="E47" s="259"/>
      <c r="F47" s="242"/>
      <c r="G47" s="6">
        <f t="shared" si="6"/>
        <v>0</v>
      </c>
      <c r="H47" s="6">
        <f t="shared" si="7"/>
        <v>0</v>
      </c>
      <c r="I47" s="6">
        <f t="shared" si="8"/>
        <v>0</v>
      </c>
      <c r="J47" s="241">
        <f t="shared" si="9"/>
        <v>0</v>
      </c>
      <c r="K47" s="242"/>
      <c r="M47" s="308"/>
      <c r="N47" s="309"/>
      <c r="O47" s="288"/>
      <c r="P47" s="313"/>
      <c r="Q47" s="314"/>
      <c r="R47" s="314"/>
      <c r="S47" s="314"/>
      <c r="T47" s="315"/>
      <c r="U47" s="11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</row>
    <row r="48" spans="1:124" ht="20.25" customHeight="1" x14ac:dyDescent="0.45">
      <c r="A48" s="49"/>
      <c r="B48" s="260"/>
      <c r="C48" s="261"/>
      <c r="D48" s="259">
        <f t="shared" si="5"/>
        <v>0</v>
      </c>
      <c r="E48" s="259"/>
      <c r="F48" s="242"/>
      <c r="G48" s="6">
        <f t="shared" si="6"/>
        <v>0</v>
      </c>
      <c r="H48" s="6">
        <f t="shared" si="7"/>
        <v>0</v>
      </c>
      <c r="I48" s="6">
        <f t="shared" si="8"/>
        <v>0</v>
      </c>
      <c r="J48" s="268">
        <f t="shared" si="9"/>
        <v>0</v>
      </c>
      <c r="K48" s="268"/>
      <c r="M48" s="300">
        <f>E3</f>
        <v>0</v>
      </c>
      <c r="N48" s="301"/>
      <c r="O48" s="301"/>
      <c r="P48" s="300">
        <f>L3</f>
        <v>0</v>
      </c>
      <c r="Q48" s="301"/>
      <c r="R48" s="301"/>
      <c r="S48" s="301"/>
      <c r="T48" s="304"/>
      <c r="U48" s="11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</row>
    <row r="49" spans="1:54" ht="20.25" customHeight="1" x14ac:dyDescent="0.45">
      <c r="A49" s="49"/>
      <c r="B49" s="260"/>
      <c r="C49" s="261"/>
      <c r="D49" s="259">
        <f t="shared" si="5"/>
        <v>0</v>
      </c>
      <c r="E49" s="259"/>
      <c r="F49" s="242"/>
      <c r="G49" s="6">
        <f t="shared" si="6"/>
        <v>0</v>
      </c>
      <c r="H49" s="6">
        <f t="shared" si="7"/>
        <v>0</v>
      </c>
      <c r="I49" s="6">
        <f t="shared" si="8"/>
        <v>0</v>
      </c>
      <c r="J49" s="268">
        <f t="shared" si="9"/>
        <v>0</v>
      </c>
      <c r="K49" s="268"/>
      <c r="M49" s="302"/>
      <c r="N49" s="303"/>
      <c r="O49" s="303"/>
      <c r="P49" s="302"/>
      <c r="Q49" s="303"/>
      <c r="R49" s="303"/>
      <c r="S49" s="303"/>
      <c r="T49" s="305"/>
      <c r="U49" s="11"/>
    </row>
    <row r="50" spans="1:54" ht="20.25" customHeight="1" x14ac:dyDescent="0.5">
      <c r="C50" s="12"/>
      <c r="D50" s="12"/>
      <c r="E50" s="12"/>
      <c r="F50" s="12"/>
      <c r="G50" s="9"/>
      <c r="H50" s="10"/>
      <c r="I50" s="10"/>
      <c r="J50" s="10"/>
      <c r="K50" s="94"/>
      <c r="N50" s="11"/>
      <c r="O50" s="11"/>
      <c r="P50" s="11"/>
      <c r="Q50" s="11"/>
      <c r="R50" s="11"/>
      <c r="S50" s="11"/>
      <c r="T50" s="11"/>
      <c r="U50" s="11"/>
    </row>
    <row r="51" spans="1:54" ht="20.25" customHeight="1" x14ac:dyDescent="0.45">
      <c r="K51" s="25"/>
    </row>
    <row r="52" spans="1:54" ht="20.25" customHeight="1" x14ac:dyDescent="0.45"/>
    <row r="53" spans="1:54" ht="20.25" customHeight="1" x14ac:dyDescent="0.45"/>
    <row r="54" spans="1:54" ht="20.25" customHeight="1" x14ac:dyDescent="0.45">
      <c r="B54" s="155"/>
      <c r="C54" s="155"/>
      <c r="D54" s="155"/>
      <c r="E54" s="155"/>
      <c r="F54" s="155"/>
      <c r="G54" s="190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7"/>
      <c r="AY54" s="157"/>
      <c r="AZ54" s="157"/>
      <c r="BA54" s="157"/>
      <c r="BB54" s="157"/>
    </row>
    <row r="55" spans="1:54" ht="20.25" customHeight="1" x14ac:dyDescent="0.45">
      <c r="B55" s="155"/>
      <c r="C55" s="155"/>
      <c r="D55" s="155"/>
      <c r="E55" s="155"/>
      <c r="F55" s="155"/>
      <c r="G55" s="190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7"/>
      <c r="AY55" s="157"/>
      <c r="AZ55" s="157"/>
      <c r="BA55" s="157"/>
      <c r="BB55" s="157"/>
    </row>
    <row r="56" spans="1:54" ht="20.25" customHeight="1" x14ac:dyDescent="0.45">
      <c r="B56" s="155"/>
      <c r="C56" s="155"/>
      <c r="D56" s="155"/>
      <c r="E56" s="155"/>
      <c r="F56" s="155"/>
      <c r="G56" s="190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7"/>
      <c r="AY56" s="157"/>
      <c r="AZ56" s="157"/>
      <c r="BA56" s="157"/>
      <c r="BB56" s="157"/>
    </row>
    <row r="57" spans="1:54" ht="20.25" customHeight="1" x14ac:dyDescent="0.45">
      <c r="B57" s="155"/>
      <c r="C57" s="155"/>
      <c r="D57" s="155"/>
      <c r="E57" s="155"/>
      <c r="F57" s="155"/>
      <c r="G57" s="190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7"/>
      <c r="AY57" s="157"/>
      <c r="AZ57" s="157"/>
      <c r="BA57" s="157"/>
      <c r="BB57" s="157"/>
    </row>
    <row r="58" spans="1:54" ht="20.25" customHeight="1" x14ac:dyDescent="0.45">
      <c r="B58" s="155"/>
      <c r="C58" s="155"/>
      <c r="D58" s="155"/>
      <c r="E58" s="155"/>
      <c r="F58" s="155"/>
      <c r="G58" s="190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7"/>
      <c r="AY58" s="157"/>
      <c r="AZ58" s="157"/>
      <c r="BA58" s="157"/>
      <c r="BB58" s="157"/>
    </row>
    <row r="59" spans="1:54" ht="20.25" customHeight="1" x14ac:dyDescent="0.65">
      <c r="B59" s="155"/>
      <c r="C59" s="155"/>
      <c r="D59" s="155"/>
      <c r="E59" s="155"/>
      <c r="F59" s="155"/>
      <c r="G59" s="190"/>
      <c r="H59" s="155"/>
      <c r="I59" s="191"/>
      <c r="J59" s="155"/>
      <c r="K59" s="155"/>
      <c r="L59" s="155"/>
      <c r="M59" s="155"/>
      <c r="N59" s="191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7"/>
      <c r="AY59" s="157"/>
      <c r="AZ59" s="157"/>
      <c r="BA59" s="157"/>
      <c r="BB59" s="157"/>
    </row>
    <row r="60" spans="1:54" ht="20.25" customHeight="1" x14ac:dyDescent="0.45">
      <c r="B60" s="155"/>
      <c r="C60" s="155"/>
      <c r="D60" s="155"/>
      <c r="E60" s="155"/>
      <c r="F60" s="155"/>
      <c r="G60" s="190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7"/>
      <c r="AY60" s="157"/>
      <c r="AZ60" s="157"/>
      <c r="BA60" s="157"/>
      <c r="BB60" s="157"/>
    </row>
    <row r="61" spans="1:54" ht="20.25" customHeight="1" x14ac:dyDescent="0.45">
      <c r="B61" s="155"/>
      <c r="C61" s="155"/>
      <c r="D61" s="155"/>
      <c r="E61" s="155"/>
      <c r="F61" s="155"/>
      <c r="G61" s="190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7"/>
      <c r="AY61" s="157"/>
      <c r="AZ61" s="157"/>
      <c r="BA61" s="157"/>
      <c r="BB61" s="157"/>
    </row>
    <row r="62" spans="1:54" ht="20.25" customHeight="1" x14ac:dyDescent="0.45">
      <c r="B62" s="155"/>
      <c r="C62" s="155"/>
      <c r="D62" s="155"/>
      <c r="E62" s="155"/>
      <c r="F62" s="155"/>
      <c r="G62" s="190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7"/>
      <c r="AY62" s="157"/>
      <c r="AZ62" s="157"/>
      <c r="BA62" s="157"/>
      <c r="BB62" s="157"/>
    </row>
    <row r="63" spans="1:54" ht="20.25" customHeight="1" x14ac:dyDescent="0.45">
      <c r="B63" s="155"/>
      <c r="C63" s="155"/>
      <c r="D63" s="155"/>
      <c r="E63" s="155"/>
      <c r="F63" s="155"/>
      <c r="G63" s="190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7"/>
      <c r="AY63" s="157"/>
      <c r="AZ63" s="157"/>
      <c r="BA63" s="157"/>
      <c r="BB63" s="157"/>
    </row>
    <row r="64" spans="1:54" ht="20.25" customHeight="1" x14ac:dyDescent="0.45">
      <c r="B64" s="155"/>
      <c r="C64" s="155"/>
      <c r="D64" s="155"/>
      <c r="E64" s="155"/>
      <c r="F64" s="155"/>
      <c r="G64" s="190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7"/>
      <c r="AY64" s="157"/>
      <c r="AZ64" s="157"/>
      <c r="BA64" s="157"/>
      <c r="BB64" s="157"/>
    </row>
    <row r="65" spans="2:63" ht="20.25" customHeight="1" x14ac:dyDescent="0.65">
      <c r="B65" s="155"/>
      <c r="C65" s="155"/>
      <c r="D65" s="155"/>
      <c r="E65" s="155"/>
      <c r="F65" s="155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7"/>
      <c r="AJ65" s="157"/>
      <c r="AK65" s="157"/>
      <c r="AL65" s="157"/>
      <c r="AM65" s="157"/>
      <c r="AN65" s="157"/>
      <c r="AO65" s="192"/>
      <c r="AP65" s="192"/>
      <c r="AQ65" s="192"/>
      <c r="AR65" s="155"/>
      <c r="AS65" s="155"/>
      <c r="AT65" s="155"/>
      <c r="AU65" s="155"/>
      <c r="AV65" s="155"/>
      <c r="AW65" s="155"/>
      <c r="AX65" s="157"/>
      <c r="AY65" s="157"/>
      <c r="AZ65" s="157"/>
      <c r="BA65" s="157"/>
      <c r="BB65" s="157"/>
    </row>
    <row r="66" spans="2:63" ht="20.25" customHeight="1" x14ac:dyDescent="0.45">
      <c r="B66" s="155"/>
      <c r="C66" s="155"/>
      <c r="D66" s="155"/>
      <c r="E66" s="155"/>
      <c r="F66" s="155"/>
      <c r="G66" s="298"/>
      <c r="H66" s="298"/>
      <c r="I66" s="298"/>
      <c r="J66" s="298"/>
      <c r="K66" s="298"/>
      <c r="L66" s="155"/>
      <c r="M66" s="298"/>
      <c r="N66" s="298"/>
      <c r="O66" s="298"/>
      <c r="P66" s="298"/>
      <c r="Q66" s="298"/>
      <c r="R66" s="298"/>
      <c r="S66" s="155"/>
      <c r="T66" s="298"/>
      <c r="U66" s="298"/>
      <c r="V66" s="298"/>
      <c r="W66" s="298"/>
      <c r="X66" s="298"/>
      <c r="Y66" s="155"/>
      <c r="Z66" s="299"/>
      <c r="AA66" s="299"/>
      <c r="AB66" s="299"/>
      <c r="AC66" s="299"/>
      <c r="AD66" s="193"/>
      <c r="AE66" s="292"/>
      <c r="AF66" s="292"/>
      <c r="AG66" s="292"/>
      <c r="AH66" s="292"/>
      <c r="AI66" s="157"/>
      <c r="AJ66" s="292"/>
      <c r="AK66" s="292"/>
      <c r="AL66" s="292"/>
      <c r="AM66" s="292"/>
      <c r="AN66" s="157"/>
      <c r="AO66" s="292"/>
      <c r="AP66" s="292"/>
      <c r="AQ66" s="292"/>
      <c r="AR66" s="292"/>
      <c r="AS66" s="155"/>
      <c r="AT66" s="155"/>
      <c r="AU66" s="155"/>
      <c r="AV66" s="155"/>
      <c r="AW66" s="155"/>
      <c r="AX66" s="157"/>
      <c r="AY66" s="157"/>
      <c r="AZ66" s="157"/>
      <c r="BA66" s="157"/>
      <c r="BB66" s="157"/>
    </row>
    <row r="67" spans="2:63" ht="20.25" customHeight="1" x14ac:dyDescent="0.5">
      <c r="B67" s="155"/>
      <c r="C67" s="155"/>
      <c r="D67" s="155"/>
      <c r="E67" s="155"/>
      <c r="F67" s="155"/>
      <c r="G67" s="298"/>
      <c r="H67" s="298"/>
      <c r="I67" s="298"/>
      <c r="J67" s="298"/>
      <c r="K67" s="298"/>
      <c r="L67" s="155"/>
      <c r="M67" s="298"/>
      <c r="N67" s="298"/>
      <c r="O67" s="298"/>
      <c r="P67" s="298"/>
      <c r="Q67" s="298"/>
      <c r="R67" s="298"/>
      <c r="S67" s="155"/>
      <c r="T67" s="298"/>
      <c r="U67" s="298"/>
      <c r="V67" s="298"/>
      <c r="W67" s="298"/>
      <c r="X67" s="298"/>
      <c r="Y67" s="155"/>
      <c r="Z67" s="291"/>
      <c r="AA67" s="291"/>
      <c r="AB67" s="291"/>
      <c r="AC67" s="291"/>
      <c r="AD67" s="194"/>
      <c r="AE67" s="291"/>
      <c r="AF67" s="291"/>
      <c r="AG67" s="291"/>
      <c r="AH67" s="291"/>
      <c r="AI67" s="157"/>
      <c r="AJ67" s="291"/>
      <c r="AK67" s="291"/>
      <c r="AL67" s="291"/>
      <c r="AM67" s="291"/>
      <c r="AN67" s="157"/>
      <c r="AO67" s="291"/>
      <c r="AP67" s="291"/>
      <c r="AQ67" s="291"/>
      <c r="AR67" s="291"/>
      <c r="AS67" s="155"/>
      <c r="AT67" s="155"/>
      <c r="AU67" s="155"/>
      <c r="AV67" s="155"/>
      <c r="AW67" s="155"/>
      <c r="AX67" s="157"/>
      <c r="AY67" s="157"/>
      <c r="AZ67" s="157"/>
      <c r="BA67" s="157"/>
      <c r="BB67" s="157"/>
    </row>
    <row r="68" spans="2:63" ht="20.25" customHeight="1" x14ac:dyDescent="0.6">
      <c r="B68" s="155"/>
      <c r="C68" s="155"/>
      <c r="D68" s="155"/>
      <c r="E68" s="155"/>
      <c r="F68" s="155"/>
      <c r="G68" s="285"/>
      <c r="H68" s="285"/>
      <c r="I68" s="285"/>
      <c r="J68" s="269"/>
      <c r="K68" s="269"/>
      <c r="L68" s="155"/>
      <c r="M68" s="282"/>
      <c r="N68" s="282"/>
      <c r="O68" s="282"/>
      <c r="P68" s="316"/>
      <c r="Q68" s="316"/>
      <c r="R68" s="316"/>
      <c r="S68" s="155"/>
      <c r="T68" s="282"/>
      <c r="U68" s="282"/>
      <c r="V68" s="282"/>
      <c r="W68" s="269"/>
      <c r="X68" s="269"/>
      <c r="Y68" s="155"/>
      <c r="Z68" s="195"/>
      <c r="AA68" s="159"/>
      <c r="AB68" s="159"/>
      <c r="AC68" s="196"/>
      <c r="AD68" s="194"/>
      <c r="AE68" s="195"/>
      <c r="AF68" s="159"/>
      <c r="AG68" s="159"/>
      <c r="AH68" s="196"/>
      <c r="AI68" s="157"/>
      <c r="AJ68" s="195"/>
      <c r="AK68" s="159"/>
      <c r="AL68" s="159"/>
      <c r="AM68" s="196"/>
      <c r="AN68" s="157"/>
      <c r="AO68" s="195"/>
      <c r="AP68" s="159"/>
      <c r="AQ68" s="159"/>
      <c r="AR68" s="196"/>
      <c r="AS68" s="155"/>
      <c r="AT68" s="155"/>
      <c r="AU68" s="155"/>
      <c r="AV68" s="155"/>
      <c r="AW68" s="155"/>
      <c r="AX68" s="157"/>
      <c r="AY68" s="157"/>
      <c r="AZ68" s="157"/>
      <c r="BA68" s="157"/>
      <c r="BB68" s="157"/>
    </row>
    <row r="69" spans="2:63" ht="20.25" customHeight="1" x14ac:dyDescent="0.6">
      <c r="B69" s="155"/>
      <c r="C69" s="155"/>
      <c r="D69" s="155"/>
      <c r="E69" s="155"/>
      <c r="F69" s="155"/>
      <c r="G69" s="285"/>
      <c r="H69" s="285"/>
      <c r="I69" s="285"/>
      <c r="J69" s="281"/>
      <c r="K69" s="281"/>
      <c r="L69" s="155"/>
      <c r="M69" s="282"/>
      <c r="N69" s="282"/>
      <c r="O69" s="282"/>
      <c r="P69" s="326"/>
      <c r="Q69" s="326"/>
      <c r="R69" s="326"/>
      <c r="S69" s="155"/>
      <c r="T69" s="282"/>
      <c r="U69" s="282"/>
      <c r="V69" s="282"/>
      <c r="W69" s="281"/>
      <c r="X69" s="281"/>
      <c r="Y69" s="155"/>
      <c r="Z69" s="192"/>
      <c r="AA69" s="192"/>
      <c r="AB69" s="192"/>
      <c r="AC69" s="192"/>
      <c r="AD69" s="197"/>
      <c r="AE69" s="192"/>
      <c r="AF69" s="192"/>
      <c r="AG69" s="192"/>
      <c r="AH69" s="192"/>
      <c r="AI69" s="157"/>
      <c r="AJ69" s="192"/>
      <c r="AK69" s="192"/>
      <c r="AL69" s="192"/>
      <c r="AM69" s="192"/>
      <c r="AN69" s="157"/>
      <c r="AO69" s="192"/>
      <c r="AP69" s="192"/>
      <c r="AQ69" s="192"/>
      <c r="AR69" s="192"/>
      <c r="AS69" s="155"/>
      <c r="AT69" s="155"/>
      <c r="AU69" s="155"/>
      <c r="AV69" s="155"/>
      <c r="AW69" s="155"/>
      <c r="AX69" s="157"/>
      <c r="AY69" s="157"/>
      <c r="AZ69" s="157"/>
      <c r="BA69" s="157"/>
      <c r="BB69" s="157"/>
    </row>
    <row r="70" spans="2:63" ht="20.25" customHeight="1" x14ac:dyDescent="0.6">
      <c r="B70" s="155"/>
      <c r="C70" s="155"/>
      <c r="D70" s="155"/>
      <c r="E70" s="155"/>
      <c r="F70" s="155"/>
      <c r="G70" s="285"/>
      <c r="H70" s="285"/>
      <c r="I70" s="285"/>
      <c r="J70" s="269"/>
      <c r="K70" s="269"/>
      <c r="L70" s="155"/>
      <c r="M70" s="282"/>
      <c r="N70" s="282"/>
      <c r="O70" s="282"/>
      <c r="P70" s="324"/>
      <c r="Q70" s="324"/>
      <c r="R70" s="324"/>
      <c r="S70" s="155"/>
      <c r="T70" s="282"/>
      <c r="U70" s="282"/>
      <c r="V70" s="282"/>
      <c r="W70" s="269"/>
      <c r="X70" s="269"/>
      <c r="Y70" s="155"/>
      <c r="Z70" s="198"/>
      <c r="AA70" s="105"/>
      <c r="AB70" s="159"/>
      <c r="AC70" s="196"/>
      <c r="AD70" s="197"/>
      <c r="AE70" s="198"/>
      <c r="AF70" s="105"/>
      <c r="AG70" s="159"/>
      <c r="AH70" s="196"/>
      <c r="AI70" s="157"/>
      <c r="AJ70" s="198"/>
      <c r="AK70" s="105"/>
      <c r="AL70" s="159"/>
      <c r="AM70" s="196"/>
      <c r="AN70" s="157"/>
      <c r="AO70" s="198"/>
      <c r="AP70" s="105"/>
      <c r="AQ70" s="159"/>
      <c r="AR70" s="196"/>
      <c r="AS70" s="155"/>
      <c r="AT70" s="155"/>
      <c r="AU70" s="155"/>
      <c r="AV70" s="155"/>
      <c r="AW70" s="155"/>
      <c r="AX70" s="157"/>
      <c r="AY70" s="157"/>
      <c r="AZ70" s="157"/>
      <c r="BA70" s="157"/>
      <c r="BB70" s="157"/>
    </row>
    <row r="71" spans="2:63" ht="20.25" customHeight="1" x14ac:dyDescent="0.6">
      <c r="B71" s="155"/>
      <c r="C71" s="155"/>
      <c r="D71" s="155"/>
      <c r="E71" s="155"/>
      <c r="F71" s="155"/>
      <c r="G71" s="284"/>
      <c r="H71" s="284"/>
      <c r="I71" s="284"/>
      <c r="J71" s="286"/>
      <c r="K71" s="286"/>
      <c r="L71" s="199"/>
      <c r="M71" s="283"/>
      <c r="N71" s="283"/>
      <c r="O71" s="283"/>
      <c r="P71" s="325"/>
      <c r="Q71" s="325"/>
      <c r="R71" s="325"/>
      <c r="S71" s="199"/>
      <c r="T71" s="283"/>
      <c r="U71" s="283"/>
      <c r="V71" s="283"/>
      <c r="W71" s="286"/>
      <c r="X71" s="286"/>
      <c r="Y71" s="155"/>
      <c r="Z71" s="198"/>
      <c r="AA71" s="192"/>
      <c r="AB71" s="192"/>
      <c r="AC71" s="192"/>
      <c r="AD71" s="197"/>
      <c r="AE71" s="198"/>
      <c r="AF71" s="192"/>
      <c r="AG71" s="192"/>
      <c r="AH71" s="192"/>
      <c r="AI71" s="157"/>
      <c r="AJ71" s="198"/>
      <c r="AK71" s="192"/>
      <c r="AL71" s="192"/>
      <c r="AM71" s="192"/>
      <c r="AN71" s="157"/>
      <c r="AO71" s="198"/>
      <c r="AP71" s="192"/>
      <c r="AQ71" s="192"/>
      <c r="AR71" s="192"/>
      <c r="AS71" s="155"/>
      <c r="AT71" s="155"/>
      <c r="AU71" s="155"/>
      <c r="AV71" s="155"/>
      <c r="AW71" s="155"/>
      <c r="AX71" s="157"/>
      <c r="AY71" s="157"/>
      <c r="AZ71" s="157"/>
      <c r="BA71" s="157"/>
      <c r="BB71" s="157"/>
    </row>
    <row r="72" spans="2:63" ht="20.25" customHeight="1" x14ac:dyDescent="0.6">
      <c r="B72" s="155"/>
      <c r="C72" s="155"/>
      <c r="D72" s="155"/>
      <c r="E72" s="155"/>
      <c r="F72" s="155"/>
      <c r="G72" s="285"/>
      <c r="H72" s="285"/>
      <c r="I72" s="285"/>
      <c r="J72" s="269"/>
      <c r="K72" s="269"/>
      <c r="L72" s="155"/>
      <c r="M72" s="282"/>
      <c r="N72" s="282"/>
      <c r="O72" s="282"/>
      <c r="P72" s="324"/>
      <c r="Q72" s="324"/>
      <c r="R72" s="324"/>
      <c r="S72" s="155"/>
      <c r="T72" s="282"/>
      <c r="U72" s="282"/>
      <c r="V72" s="282"/>
      <c r="W72" s="269"/>
      <c r="X72" s="269"/>
      <c r="Y72" s="155"/>
      <c r="Z72" s="198"/>
      <c r="AA72" s="198"/>
      <c r="AB72" s="198"/>
      <c r="AC72" s="198"/>
      <c r="AD72" s="197"/>
      <c r="AE72" s="198"/>
      <c r="AF72" s="198"/>
      <c r="AG72" s="198"/>
      <c r="AH72" s="198"/>
      <c r="AI72" s="157"/>
      <c r="AJ72" s="198"/>
      <c r="AK72" s="198"/>
      <c r="AL72" s="198"/>
      <c r="AM72" s="198"/>
      <c r="AN72" s="157"/>
      <c r="AO72" s="198"/>
      <c r="AP72" s="198"/>
      <c r="AQ72" s="198"/>
      <c r="AR72" s="198"/>
      <c r="AS72" s="155"/>
      <c r="AT72" s="155"/>
      <c r="AU72" s="155"/>
      <c r="AV72" s="155"/>
      <c r="AW72" s="155"/>
      <c r="AX72" s="157"/>
      <c r="AY72" s="157"/>
      <c r="AZ72" s="157"/>
      <c r="BA72" s="157"/>
      <c r="BB72" s="157"/>
      <c r="BH72"/>
      <c r="BI72"/>
      <c r="BJ72"/>
      <c r="BK72"/>
    </row>
    <row r="73" spans="2:63" ht="20.25" customHeight="1" x14ac:dyDescent="0.6">
      <c r="B73" s="155"/>
      <c r="C73" s="155"/>
      <c r="D73" s="155"/>
      <c r="E73" s="155"/>
      <c r="F73" s="155"/>
      <c r="G73" s="270"/>
      <c r="H73" s="270"/>
      <c r="I73" s="270"/>
      <c r="J73" s="269"/>
      <c r="K73" s="269"/>
      <c r="L73" s="155"/>
      <c r="M73" s="319"/>
      <c r="N73" s="319"/>
      <c r="O73" s="319"/>
      <c r="P73" s="324"/>
      <c r="Q73" s="324"/>
      <c r="R73" s="324"/>
      <c r="S73" s="155"/>
      <c r="T73" s="323"/>
      <c r="U73" s="323"/>
      <c r="V73" s="323"/>
      <c r="W73" s="269"/>
      <c r="X73" s="269"/>
      <c r="Y73" s="155"/>
      <c r="Z73" s="198"/>
      <c r="AA73" s="192"/>
      <c r="AB73" s="192"/>
      <c r="AC73" s="192"/>
      <c r="AD73" s="197"/>
      <c r="AE73" s="198"/>
      <c r="AF73" s="192"/>
      <c r="AG73" s="192"/>
      <c r="AH73" s="192"/>
      <c r="AI73" s="157"/>
      <c r="AJ73" s="198"/>
      <c r="AK73" s="192"/>
      <c r="AL73" s="192"/>
      <c r="AM73" s="192"/>
      <c r="AN73" s="157"/>
      <c r="AO73" s="198"/>
      <c r="AP73" s="192"/>
      <c r="AQ73" s="192"/>
      <c r="AR73" s="192"/>
      <c r="AS73" s="155"/>
      <c r="AT73" s="155"/>
      <c r="AU73" s="155"/>
      <c r="AV73" s="155"/>
      <c r="AW73" s="155"/>
      <c r="AX73" s="157"/>
      <c r="AY73" s="157"/>
      <c r="AZ73" s="157"/>
      <c r="BA73" s="157"/>
      <c r="BB73" s="157"/>
      <c r="BH73" s="44"/>
      <c r="BI73" s="44"/>
      <c r="BJ73" s="44"/>
      <c r="BK73" s="44"/>
    </row>
    <row r="74" spans="2:63" ht="20.25" customHeight="1" x14ac:dyDescent="0.6">
      <c r="B74" s="155"/>
      <c r="C74" s="155"/>
      <c r="D74" s="155"/>
      <c r="E74" s="155"/>
      <c r="F74" s="155"/>
      <c r="G74" s="317"/>
      <c r="H74" s="317"/>
      <c r="I74" s="317"/>
      <c r="J74" s="269"/>
      <c r="K74" s="269"/>
      <c r="L74" s="155"/>
      <c r="M74" s="319"/>
      <c r="N74" s="319"/>
      <c r="O74" s="319"/>
      <c r="P74" s="324"/>
      <c r="Q74" s="324"/>
      <c r="R74" s="324"/>
      <c r="S74" s="155"/>
      <c r="T74" s="319"/>
      <c r="U74" s="319"/>
      <c r="V74" s="319"/>
      <c r="W74" s="269"/>
      <c r="X74" s="269"/>
      <c r="Y74" s="160"/>
      <c r="Z74" s="198"/>
      <c r="AA74" s="192"/>
      <c r="AB74" s="192"/>
      <c r="AC74" s="192"/>
      <c r="AD74" s="197"/>
      <c r="AE74" s="198"/>
      <c r="AF74" s="192"/>
      <c r="AG74" s="192"/>
      <c r="AH74" s="192"/>
      <c r="AI74" s="157"/>
      <c r="AJ74" s="198"/>
      <c r="AK74" s="192"/>
      <c r="AL74" s="192"/>
      <c r="AM74" s="192"/>
      <c r="AN74" s="157"/>
      <c r="AO74" s="198"/>
      <c r="AP74" s="192"/>
      <c r="AQ74" s="192"/>
      <c r="AR74" s="192"/>
      <c r="AS74" s="155"/>
      <c r="AT74" s="155"/>
      <c r="AU74" s="155"/>
      <c r="AV74" s="155"/>
      <c r="AW74" s="155"/>
      <c r="AX74" s="157"/>
      <c r="AY74" s="157"/>
      <c r="AZ74" s="157"/>
      <c r="BA74" s="157"/>
      <c r="BB74" s="157"/>
      <c r="BH74" s="37"/>
      <c r="BI74" s="37"/>
      <c r="BJ74" s="37"/>
      <c r="BK74" s="37"/>
    </row>
    <row r="75" spans="2:63" ht="20.25" customHeight="1" x14ac:dyDescent="0.6">
      <c r="B75" s="155"/>
      <c r="C75" s="155"/>
      <c r="D75" s="155"/>
      <c r="E75" s="155"/>
      <c r="F75" s="155"/>
      <c r="G75" s="318"/>
      <c r="H75" s="318"/>
      <c r="I75" s="318"/>
      <c r="J75" s="269"/>
      <c r="K75" s="269"/>
      <c r="L75" s="155"/>
      <c r="M75" s="282"/>
      <c r="N75" s="282"/>
      <c r="O75" s="282"/>
      <c r="P75" s="324"/>
      <c r="Q75" s="324"/>
      <c r="R75" s="324"/>
      <c r="S75" s="155"/>
      <c r="T75" s="322"/>
      <c r="U75" s="322"/>
      <c r="V75" s="322"/>
      <c r="W75" s="269"/>
      <c r="X75" s="269"/>
      <c r="Y75" s="160"/>
      <c r="Z75" s="198"/>
      <c r="AA75" s="192"/>
      <c r="AB75" s="192"/>
      <c r="AC75" s="159"/>
      <c r="AD75" s="197"/>
      <c r="AE75" s="198"/>
      <c r="AF75" s="192"/>
      <c r="AG75" s="192"/>
      <c r="AH75" s="159"/>
      <c r="AI75" s="157"/>
      <c r="AJ75" s="198"/>
      <c r="AK75" s="192"/>
      <c r="AL75" s="192"/>
      <c r="AM75" s="159"/>
      <c r="AN75" s="157"/>
      <c r="AO75" s="198"/>
      <c r="AP75" s="192"/>
      <c r="AQ75" s="192"/>
      <c r="AR75" s="159"/>
      <c r="AS75" s="155"/>
      <c r="AT75" s="155"/>
      <c r="AU75" s="155"/>
      <c r="AV75" s="155"/>
      <c r="AW75" s="155"/>
      <c r="AX75" s="157"/>
      <c r="AY75" s="157"/>
      <c r="AZ75" s="157"/>
      <c r="BA75" s="157"/>
      <c r="BB75" s="157"/>
      <c r="BH75" s="3"/>
      <c r="BI75" s="35"/>
      <c r="BJ75" s="35"/>
      <c r="BK75" s="43"/>
    </row>
    <row r="76" spans="2:63" ht="20.25" customHeight="1" x14ac:dyDescent="0.6">
      <c r="B76" s="155"/>
      <c r="C76" s="155"/>
      <c r="D76" s="155"/>
      <c r="E76" s="155"/>
      <c r="F76" s="155"/>
      <c r="G76" s="318"/>
      <c r="H76" s="318"/>
      <c r="I76" s="318"/>
      <c r="J76" s="269"/>
      <c r="K76" s="269"/>
      <c r="L76" s="155"/>
      <c r="M76" s="282"/>
      <c r="N76" s="282"/>
      <c r="O76" s="282"/>
      <c r="P76" s="324"/>
      <c r="Q76" s="324"/>
      <c r="R76" s="324"/>
      <c r="S76" s="155"/>
      <c r="T76" s="322"/>
      <c r="U76" s="322"/>
      <c r="V76" s="322"/>
      <c r="W76" s="269"/>
      <c r="X76" s="269"/>
      <c r="Y76" s="160"/>
      <c r="Z76" s="198"/>
      <c r="AA76" s="192"/>
      <c r="AB76" s="192"/>
      <c r="AC76" s="192"/>
      <c r="AD76" s="197"/>
      <c r="AE76" s="198"/>
      <c r="AF76" s="192"/>
      <c r="AG76" s="192"/>
      <c r="AH76" s="192"/>
      <c r="AI76" s="157"/>
      <c r="AJ76" s="198"/>
      <c r="AK76" s="192"/>
      <c r="AL76" s="192"/>
      <c r="AM76" s="192"/>
      <c r="AN76" s="157"/>
      <c r="AO76" s="198"/>
      <c r="AP76" s="192"/>
      <c r="AQ76" s="192"/>
      <c r="AR76" s="192"/>
      <c r="AS76" s="155"/>
      <c r="AT76" s="155"/>
      <c r="AU76" s="155"/>
      <c r="AV76" s="155"/>
      <c r="AW76" s="155"/>
      <c r="AX76" s="157"/>
      <c r="AY76" s="157"/>
      <c r="AZ76" s="157"/>
      <c r="BA76" s="157"/>
      <c r="BB76" s="157"/>
      <c r="BH76" s="36"/>
      <c r="BI76" s="36"/>
      <c r="BJ76" s="36"/>
      <c r="BK76" s="36"/>
    </row>
    <row r="77" spans="2:63" ht="20.25" customHeight="1" x14ac:dyDescent="0.6">
      <c r="B77" s="155"/>
      <c r="C77" s="155"/>
      <c r="D77" s="155"/>
      <c r="E77" s="155"/>
      <c r="F77" s="155"/>
      <c r="G77" s="318"/>
      <c r="H77" s="318"/>
      <c r="I77" s="318"/>
      <c r="J77" s="269"/>
      <c r="K77" s="269"/>
      <c r="L77" s="155"/>
      <c r="M77" s="282"/>
      <c r="N77" s="282"/>
      <c r="O77" s="282"/>
      <c r="P77" s="324"/>
      <c r="Q77" s="324"/>
      <c r="R77" s="324"/>
      <c r="S77" s="155"/>
      <c r="T77" s="322"/>
      <c r="U77" s="322"/>
      <c r="V77" s="322"/>
      <c r="W77" s="269"/>
      <c r="X77" s="269"/>
      <c r="Y77" s="160"/>
      <c r="Z77" s="198"/>
      <c r="AA77" s="192"/>
      <c r="AB77" s="192"/>
      <c r="AC77" s="192"/>
      <c r="AD77" s="197"/>
      <c r="AE77" s="198"/>
      <c r="AF77" s="192"/>
      <c r="AG77" s="192"/>
      <c r="AH77" s="192"/>
      <c r="AI77" s="157"/>
      <c r="AJ77" s="198"/>
      <c r="AK77" s="192"/>
      <c r="AL77" s="192"/>
      <c r="AM77" s="192"/>
      <c r="AN77" s="157"/>
      <c r="AO77" s="198"/>
      <c r="AP77" s="192"/>
      <c r="AQ77" s="192"/>
      <c r="AR77" s="192"/>
      <c r="AS77" s="155"/>
      <c r="AT77" s="155"/>
      <c r="AU77" s="155"/>
      <c r="AV77" s="155"/>
      <c r="AW77" s="155"/>
      <c r="AX77" s="157"/>
      <c r="AY77" s="157"/>
      <c r="AZ77" s="157"/>
      <c r="BA77" s="157"/>
      <c r="BB77" s="157"/>
      <c r="BH77" s="37"/>
      <c r="BI77" s="13"/>
      <c r="BJ77" s="35"/>
      <c r="BK77" s="43"/>
    </row>
    <row r="78" spans="2:63" ht="20.25" customHeight="1" x14ac:dyDescent="0.6">
      <c r="B78" s="155"/>
      <c r="C78" s="155"/>
      <c r="D78" s="155"/>
      <c r="E78" s="155"/>
      <c r="F78" s="155"/>
      <c r="G78" s="318"/>
      <c r="H78" s="318"/>
      <c r="I78" s="318"/>
      <c r="J78" s="269"/>
      <c r="K78" s="269"/>
      <c r="L78" s="155"/>
      <c r="M78" s="282"/>
      <c r="N78" s="282"/>
      <c r="O78" s="282"/>
      <c r="P78" s="324"/>
      <c r="Q78" s="324"/>
      <c r="R78" s="324"/>
      <c r="S78" s="155"/>
      <c r="T78" s="322"/>
      <c r="U78" s="322"/>
      <c r="V78" s="322"/>
      <c r="W78" s="269"/>
      <c r="X78" s="269"/>
      <c r="Y78" s="160"/>
      <c r="Z78" s="198"/>
      <c r="AA78" s="198"/>
      <c r="AB78" s="198"/>
      <c r="AC78" s="198"/>
      <c r="AD78" s="200"/>
      <c r="AE78" s="198"/>
      <c r="AF78" s="198"/>
      <c r="AG78" s="198"/>
      <c r="AH78" s="198"/>
      <c r="AI78" s="157"/>
      <c r="AJ78" s="198"/>
      <c r="AK78" s="198"/>
      <c r="AL78" s="198"/>
      <c r="AM78" s="198"/>
      <c r="AN78" s="157"/>
      <c r="AO78" s="198"/>
      <c r="AP78" s="198"/>
      <c r="AQ78" s="198"/>
      <c r="AR78" s="198"/>
      <c r="AS78" s="155"/>
      <c r="AT78" s="155"/>
      <c r="AU78" s="155"/>
      <c r="AV78" s="155"/>
      <c r="AW78" s="155"/>
      <c r="AX78" s="157"/>
      <c r="AY78" s="157"/>
      <c r="AZ78" s="157"/>
      <c r="BA78" s="157"/>
      <c r="BB78" s="157"/>
      <c r="BH78" s="37"/>
      <c r="BI78" s="36"/>
      <c r="BJ78" s="36"/>
      <c r="BK78" s="36"/>
    </row>
    <row r="79" spans="2:63" ht="20.25" customHeight="1" x14ac:dyDescent="0.6">
      <c r="B79" s="155"/>
      <c r="C79" s="155"/>
      <c r="D79" s="155"/>
      <c r="E79" s="155"/>
      <c r="F79" s="155"/>
      <c r="G79" s="155"/>
      <c r="H79" s="155"/>
      <c r="I79" s="155"/>
      <c r="J79" s="201"/>
      <c r="K79" s="155"/>
      <c r="L79" s="155"/>
      <c r="M79" s="155"/>
      <c r="N79" s="155"/>
      <c r="O79" s="155"/>
      <c r="P79" s="155"/>
      <c r="Q79" s="155"/>
      <c r="R79" s="102"/>
      <c r="S79" s="155"/>
      <c r="T79" s="155"/>
      <c r="U79" s="155"/>
      <c r="V79" s="155"/>
      <c r="W79" s="160"/>
      <c r="X79" s="155"/>
      <c r="Y79" s="160"/>
      <c r="Z79" s="198"/>
      <c r="AA79" s="192"/>
      <c r="AB79" s="192"/>
      <c r="AC79" s="192"/>
      <c r="AD79" s="160"/>
      <c r="AE79" s="198"/>
      <c r="AF79" s="192"/>
      <c r="AG79" s="192"/>
      <c r="AH79" s="192"/>
      <c r="AI79" s="157"/>
      <c r="AJ79" s="198"/>
      <c r="AK79" s="192"/>
      <c r="AL79" s="192"/>
      <c r="AM79" s="192"/>
      <c r="AN79" s="157"/>
      <c r="AO79" s="198"/>
      <c r="AP79" s="192"/>
      <c r="AQ79" s="192"/>
      <c r="AR79" s="192"/>
      <c r="AS79" s="155"/>
      <c r="AT79" s="155"/>
      <c r="AU79" s="155"/>
      <c r="AV79" s="155"/>
      <c r="AW79" s="155"/>
      <c r="AX79" s="157"/>
      <c r="AY79" s="157"/>
      <c r="AZ79" s="157"/>
      <c r="BA79" s="157"/>
      <c r="BB79" s="157"/>
      <c r="BH79" s="37"/>
      <c r="BI79" s="37"/>
      <c r="BJ79" s="37"/>
      <c r="BK79" s="37"/>
    </row>
    <row r="80" spans="2:63" ht="20.25" customHeight="1" x14ac:dyDescent="0.6">
      <c r="B80" s="155"/>
      <c r="C80" s="155"/>
      <c r="D80" s="155"/>
      <c r="E80" s="155"/>
      <c r="F80" s="155"/>
      <c r="G80" s="202"/>
      <c r="H80" s="202"/>
      <c r="I80" s="202"/>
      <c r="J80" s="202"/>
      <c r="K80" s="202"/>
      <c r="L80" s="155"/>
      <c r="M80" s="202"/>
      <c r="N80" s="202"/>
      <c r="O80" s="202"/>
      <c r="P80" s="202"/>
      <c r="Q80" s="202"/>
      <c r="R80" s="155"/>
      <c r="S80" s="202"/>
      <c r="T80" s="202"/>
      <c r="U80" s="202"/>
      <c r="V80" s="202"/>
      <c r="W80" s="160"/>
      <c r="X80" s="155"/>
      <c r="Y80" s="160"/>
      <c r="Z80" s="155"/>
      <c r="AA80" s="155"/>
      <c r="AB80" s="155"/>
      <c r="AC80" s="155"/>
      <c r="AD80" s="155"/>
      <c r="AE80" s="155"/>
      <c r="AF80" s="155"/>
      <c r="AG80" s="155"/>
      <c r="AH80" s="155"/>
      <c r="AI80" s="157"/>
      <c r="AJ80" s="157"/>
      <c r="AK80" s="157"/>
      <c r="AL80" s="157"/>
      <c r="AM80" s="157"/>
      <c r="AN80" s="157"/>
      <c r="AO80" s="192"/>
      <c r="AP80" s="192"/>
      <c r="AQ80" s="192"/>
      <c r="AR80" s="155"/>
      <c r="AS80" s="155"/>
      <c r="AT80" s="155"/>
      <c r="AU80" s="155"/>
      <c r="AV80" s="155"/>
      <c r="AW80" s="155"/>
      <c r="AX80" s="157"/>
      <c r="AY80" s="157"/>
      <c r="AZ80" s="157"/>
      <c r="BA80" s="157"/>
      <c r="BB80" s="157"/>
      <c r="BH80" s="37"/>
      <c r="BI80" s="36"/>
      <c r="BJ80" s="36"/>
      <c r="BK80" s="36"/>
    </row>
    <row r="81" spans="2:64" ht="20.25" customHeight="1" x14ac:dyDescent="0.65">
      <c r="B81" s="155"/>
      <c r="C81" s="155"/>
      <c r="D81" s="155"/>
      <c r="E81" s="155"/>
      <c r="F81" s="155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160"/>
      <c r="Z81" s="328"/>
      <c r="AA81" s="328"/>
      <c r="AB81" s="329"/>
      <c r="AC81" s="329"/>
      <c r="AD81" s="332"/>
      <c r="AE81" s="332"/>
      <c r="AF81" s="155"/>
      <c r="AG81" s="328"/>
      <c r="AH81" s="328"/>
      <c r="AI81" s="329"/>
      <c r="AJ81" s="329"/>
      <c r="AK81" s="332"/>
      <c r="AL81" s="332"/>
      <c r="AM81" s="157"/>
      <c r="AN81" s="157"/>
      <c r="AO81" s="192"/>
      <c r="AP81" s="192"/>
      <c r="AQ81" s="192"/>
      <c r="AR81" s="155"/>
      <c r="AS81" s="155"/>
      <c r="AT81" s="155"/>
      <c r="AU81" s="155"/>
      <c r="AV81" s="155"/>
      <c r="AW81" s="155"/>
      <c r="AX81" s="157"/>
      <c r="AY81" s="157"/>
      <c r="AZ81" s="157"/>
      <c r="BA81" s="157"/>
      <c r="BB81" s="157"/>
      <c r="BH81" s="37"/>
      <c r="BI81" s="36"/>
      <c r="BJ81" s="36"/>
      <c r="BK81" s="36"/>
    </row>
    <row r="82" spans="2:64" ht="16.5" customHeight="1" x14ac:dyDescent="0.6">
      <c r="B82" s="155"/>
      <c r="C82" s="155"/>
      <c r="D82" s="155"/>
      <c r="E82" s="155"/>
      <c r="F82" s="155"/>
      <c r="G82" s="298"/>
      <c r="H82" s="298"/>
      <c r="I82" s="298"/>
      <c r="J82" s="298"/>
      <c r="K82" s="298"/>
      <c r="L82" s="155"/>
      <c r="M82" s="298"/>
      <c r="N82" s="298"/>
      <c r="O82" s="298"/>
      <c r="P82" s="298"/>
      <c r="Q82" s="298"/>
      <c r="R82" s="298"/>
      <c r="S82" s="155"/>
      <c r="T82" s="298"/>
      <c r="U82" s="298"/>
      <c r="V82" s="298"/>
      <c r="W82" s="298"/>
      <c r="X82" s="298"/>
      <c r="Y82" s="160"/>
      <c r="Z82" s="320"/>
      <c r="AA82" s="330"/>
      <c r="AB82" s="206"/>
      <c r="AC82" s="206"/>
      <c r="AD82" s="331"/>
      <c r="AE82" s="320"/>
      <c r="AF82" s="155"/>
      <c r="AG82" s="320"/>
      <c r="AH82" s="330"/>
      <c r="AI82" s="206"/>
      <c r="AJ82" s="206"/>
      <c r="AK82" s="333"/>
      <c r="AL82" s="320"/>
      <c r="AM82" s="157"/>
      <c r="AN82" s="157"/>
      <c r="AO82" s="192"/>
      <c r="AP82" s="192"/>
      <c r="AQ82" s="159"/>
      <c r="AR82" s="155"/>
      <c r="AS82" s="155"/>
      <c r="AT82" s="155"/>
      <c r="AU82" s="155"/>
      <c r="AV82" s="155"/>
      <c r="AW82" s="155"/>
      <c r="AX82" s="157"/>
      <c r="AY82" s="157"/>
      <c r="AZ82" s="157"/>
      <c r="BA82" s="157"/>
      <c r="BB82" s="157"/>
      <c r="BH82" s="37"/>
      <c r="BI82" s="36"/>
      <c r="BJ82" s="36"/>
      <c r="BK82" s="35"/>
    </row>
    <row r="83" spans="2:64" ht="20.25" customHeight="1" x14ac:dyDescent="0.6">
      <c r="B83" s="155"/>
      <c r="C83" s="155"/>
      <c r="D83" s="155"/>
      <c r="E83" s="155"/>
      <c r="F83" s="155"/>
      <c r="G83" s="298"/>
      <c r="H83" s="298"/>
      <c r="I83" s="298"/>
      <c r="J83" s="298"/>
      <c r="K83" s="298"/>
      <c r="L83" s="155"/>
      <c r="M83" s="298"/>
      <c r="N83" s="298"/>
      <c r="O83" s="298"/>
      <c r="P83" s="298"/>
      <c r="Q83" s="298"/>
      <c r="R83" s="298"/>
      <c r="S83" s="155"/>
      <c r="T83" s="298"/>
      <c r="U83" s="298"/>
      <c r="V83" s="298"/>
      <c r="W83" s="298"/>
      <c r="X83" s="298"/>
      <c r="Y83" s="160"/>
      <c r="Z83" s="320"/>
      <c r="AA83" s="330"/>
      <c r="AB83" s="206"/>
      <c r="AC83" s="206"/>
      <c r="AD83" s="331"/>
      <c r="AE83" s="320"/>
      <c r="AF83" s="155"/>
      <c r="AG83" s="320"/>
      <c r="AH83" s="330"/>
      <c r="AI83" s="206"/>
      <c r="AJ83" s="206"/>
      <c r="AK83" s="333"/>
      <c r="AL83" s="320"/>
      <c r="AM83" s="157"/>
      <c r="AN83" s="157"/>
      <c r="AO83" s="192"/>
      <c r="AP83" s="192"/>
      <c r="AQ83" s="192"/>
      <c r="AR83" s="155"/>
      <c r="AS83" s="155"/>
      <c r="AT83" s="155"/>
      <c r="AU83" s="155"/>
      <c r="AV83" s="155"/>
      <c r="AW83" s="155"/>
      <c r="AX83" s="157"/>
      <c r="AY83" s="157"/>
      <c r="AZ83" s="157"/>
      <c r="BA83" s="157"/>
      <c r="BB83" s="157"/>
      <c r="BH83" s="37"/>
      <c r="BI83" s="36"/>
      <c r="BJ83" s="36"/>
      <c r="BK83" s="36"/>
    </row>
    <row r="84" spans="2:64" ht="21" x14ac:dyDescent="0.6">
      <c r="B84" s="155"/>
      <c r="C84" s="155"/>
      <c r="D84" s="155"/>
      <c r="E84" s="155"/>
      <c r="F84" s="155"/>
      <c r="G84" s="285"/>
      <c r="H84" s="285"/>
      <c r="I84" s="285"/>
      <c r="J84" s="269"/>
      <c r="K84" s="269"/>
      <c r="L84" s="155"/>
      <c r="M84" s="282"/>
      <c r="N84" s="282"/>
      <c r="O84" s="282"/>
      <c r="P84" s="316"/>
      <c r="Q84" s="316"/>
      <c r="R84" s="316"/>
      <c r="S84" s="155"/>
      <c r="T84" s="282"/>
      <c r="U84" s="282"/>
      <c r="V84" s="282"/>
      <c r="W84" s="269"/>
      <c r="X84" s="269"/>
      <c r="Y84" s="160"/>
      <c r="Z84" s="184"/>
      <c r="AA84" s="203"/>
      <c r="AB84" s="321"/>
      <c r="AC84" s="321"/>
      <c r="AD84" s="197"/>
      <c r="AE84" s="184"/>
      <c r="AF84" s="155"/>
      <c r="AG84" s="184"/>
      <c r="AH84" s="203"/>
      <c r="AI84" s="321"/>
      <c r="AJ84" s="321"/>
      <c r="AK84" s="197"/>
      <c r="AL84" s="184"/>
      <c r="AM84" s="157"/>
      <c r="AN84" s="157"/>
      <c r="AO84" s="192"/>
      <c r="AP84" s="192"/>
      <c r="AQ84" s="192"/>
      <c r="AR84" s="155"/>
      <c r="AS84" s="155"/>
      <c r="AT84" s="155"/>
      <c r="AU84" s="155"/>
      <c r="AV84" s="155"/>
      <c r="AW84" s="155"/>
      <c r="AX84" s="157"/>
      <c r="AY84" s="157"/>
      <c r="AZ84" s="157"/>
      <c r="BA84" s="157"/>
      <c r="BB84" s="157"/>
      <c r="BH84" s="37"/>
      <c r="BI84" s="36"/>
      <c r="BJ84" s="36"/>
      <c r="BK84" s="36"/>
    </row>
    <row r="85" spans="2:64" ht="21" x14ac:dyDescent="0.6">
      <c r="B85" s="155"/>
      <c r="C85" s="155"/>
      <c r="D85" s="155"/>
      <c r="E85" s="155"/>
      <c r="F85" s="155"/>
      <c r="G85" s="285"/>
      <c r="H85" s="285"/>
      <c r="I85" s="285"/>
      <c r="J85" s="281"/>
      <c r="K85" s="281"/>
      <c r="L85" s="155"/>
      <c r="M85" s="282"/>
      <c r="N85" s="282"/>
      <c r="O85" s="282"/>
      <c r="P85" s="326"/>
      <c r="Q85" s="326"/>
      <c r="R85" s="326"/>
      <c r="S85" s="155"/>
      <c r="T85" s="282"/>
      <c r="U85" s="282"/>
      <c r="V85" s="282"/>
      <c r="W85" s="281"/>
      <c r="X85" s="281"/>
      <c r="Y85" s="160"/>
      <c r="Z85" s="184"/>
      <c r="AA85" s="203"/>
      <c r="AB85" s="321"/>
      <c r="AC85" s="321"/>
      <c r="AD85" s="197"/>
      <c r="AE85" s="184"/>
      <c r="AF85" s="160"/>
      <c r="AG85" s="184"/>
      <c r="AH85" s="203"/>
      <c r="AI85" s="321"/>
      <c r="AJ85" s="321"/>
      <c r="AK85" s="197"/>
      <c r="AL85" s="184"/>
      <c r="AM85" s="204"/>
      <c r="AN85" s="198"/>
      <c r="AO85" s="198"/>
      <c r="AP85" s="198"/>
      <c r="AQ85" s="198"/>
      <c r="AR85" s="155"/>
      <c r="AS85" s="155"/>
      <c r="AT85" s="155"/>
      <c r="AU85" s="155"/>
      <c r="AV85" s="155"/>
      <c r="AW85" s="155"/>
      <c r="AX85" s="157"/>
      <c r="AY85" s="157"/>
      <c r="AZ85" s="157"/>
      <c r="BA85" s="157"/>
      <c r="BB85" s="157"/>
      <c r="BH85" s="37"/>
      <c r="BI85" s="37"/>
      <c r="BJ85" s="37"/>
      <c r="BK85" s="37"/>
    </row>
    <row r="86" spans="2:64" ht="21" x14ac:dyDescent="0.6">
      <c r="B86" s="155"/>
      <c r="C86" s="155"/>
      <c r="D86" s="155"/>
      <c r="E86" s="155"/>
      <c r="F86" s="155"/>
      <c r="G86" s="285"/>
      <c r="H86" s="285"/>
      <c r="I86" s="285"/>
      <c r="J86" s="269"/>
      <c r="K86" s="269"/>
      <c r="L86" s="155"/>
      <c r="M86" s="282"/>
      <c r="N86" s="282"/>
      <c r="O86" s="282"/>
      <c r="P86" s="324"/>
      <c r="Q86" s="324"/>
      <c r="R86" s="324"/>
      <c r="S86" s="155"/>
      <c r="T86" s="282"/>
      <c r="U86" s="282"/>
      <c r="V86" s="282"/>
      <c r="W86" s="269"/>
      <c r="X86" s="269"/>
      <c r="Y86" s="160"/>
      <c r="Z86" s="184"/>
      <c r="AA86" s="203"/>
      <c r="AB86" s="321"/>
      <c r="AC86" s="321"/>
      <c r="AD86" s="197"/>
      <c r="AE86" s="184"/>
      <c r="AF86" s="160"/>
      <c r="AG86" s="184"/>
      <c r="AH86" s="203"/>
      <c r="AI86" s="321"/>
      <c r="AJ86" s="321"/>
      <c r="AK86" s="197"/>
      <c r="AL86" s="184"/>
      <c r="AM86" s="204"/>
      <c r="AN86" s="198"/>
      <c r="AO86" s="192"/>
      <c r="AP86" s="192"/>
      <c r="AQ86" s="192"/>
      <c r="AR86" s="155"/>
      <c r="AS86" s="155"/>
      <c r="AT86" s="155"/>
      <c r="AU86" s="155"/>
      <c r="AV86" s="155"/>
      <c r="AW86" s="155"/>
      <c r="AX86" s="157"/>
      <c r="AY86" s="157"/>
      <c r="AZ86" s="157"/>
      <c r="BA86" s="157"/>
      <c r="BB86" s="157"/>
      <c r="BH86" s="37"/>
      <c r="BI86" s="36"/>
      <c r="BJ86" s="36"/>
      <c r="BK86" s="36"/>
    </row>
    <row r="87" spans="2:64" ht="21" x14ac:dyDescent="0.6">
      <c r="B87" s="155"/>
      <c r="C87" s="155"/>
      <c r="D87" s="155"/>
      <c r="E87" s="155"/>
      <c r="F87" s="155"/>
      <c r="G87" s="285"/>
      <c r="H87" s="285"/>
      <c r="I87" s="285"/>
      <c r="J87" s="269"/>
      <c r="K87" s="269"/>
      <c r="L87" s="155"/>
      <c r="M87" s="282"/>
      <c r="N87" s="282"/>
      <c r="O87" s="282"/>
      <c r="P87" s="324"/>
      <c r="Q87" s="324"/>
      <c r="R87" s="324"/>
      <c r="S87" s="155"/>
      <c r="T87" s="282"/>
      <c r="U87" s="282"/>
      <c r="V87" s="282"/>
      <c r="W87" s="269"/>
      <c r="X87" s="269"/>
      <c r="Y87" s="160"/>
      <c r="Z87" s="184"/>
      <c r="AA87" s="203"/>
      <c r="AB87" s="321"/>
      <c r="AC87" s="321"/>
      <c r="AD87" s="197"/>
      <c r="AE87" s="184"/>
      <c r="AF87" s="160"/>
      <c r="AG87" s="184"/>
      <c r="AH87" s="203"/>
      <c r="AI87" s="321"/>
      <c r="AJ87" s="321"/>
      <c r="AK87" s="197"/>
      <c r="AL87" s="184"/>
      <c r="AM87" s="204"/>
      <c r="AN87" s="204"/>
      <c r="AO87" s="204"/>
      <c r="AP87" s="204"/>
      <c r="AQ87" s="204"/>
      <c r="AR87" s="204"/>
      <c r="AS87" s="155"/>
      <c r="AT87" s="155"/>
      <c r="AU87" s="155"/>
      <c r="AV87" s="155"/>
      <c r="AW87" s="155"/>
      <c r="AX87" s="157"/>
      <c r="AY87" s="157"/>
      <c r="AZ87" s="157"/>
      <c r="BA87" s="157"/>
      <c r="BB87" s="157"/>
      <c r="BH87"/>
      <c r="BI87"/>
      <c r="BJ87"/>
      <c r="BK87"/>
    </row>
    <row r="88" spans="2:64" ht="19.5" customHeight="1" x14ac:dyDescent="0.6">
      <c r="B88" s="155"/>
      <c r="C88" s="155"/>
      <c r="D88" s="155"/>
      <c r="E88" s="155"/>
      <c r="F88" s="155"/>
      <c r="G88" s="285"/>
      <c r="H88" s="285"/>
      <c r="I88" s="285"/>
      <c r="J88" s="269"/>
      <c r="K88" s="269"/>
      <c r="L88" s="155"/>
      <c r="M88" s="282"/>
      <c r="N88" s="282"/>
      <c r="O88" s="282"/>
      <c r="P88" s="324"/>
      <c r="Q88" s="324"/>
      <c r="R88" s="324"/>
      <c r="S88" s="155"/>
      <c r="T88" s="282"/>
      <c r="U88" s="282"/>
      <c r="V88" s="282"/>
      <c r="W88" s="269"/>
      <c r="X88" s="269"/>
      <c r="Y88" s="160"/>
      <c r="Z88" s="184"/>
      <c r="AA88" s="203"/>
      <c r="AB88" s="321"/>
      <c r="AC88" s="321"/>
      <c r="AD88" s="197"/>
      <c r="AE88" s="184"/>
      <c r="AF88" s="160"/>
      <c r="AG88" s="184"/>
      <c r="AH88" s="203"/>
      <c r="AI88" s="321"/>
      <c r="AJ88" s="321"/>
      <c r="AK88" s="197"/>
      <c r="AL88" s="184"/>
      <c r="AM88" s="204"/>
      <c r="AN88" s="204"/>
      <c r="AO88" s="204"/>
      <c r="AP88" s="204"/>
      <c r="AQ88" s="204"/>
      <c r="AR88" s="204"/>
      <c r="AS88" s="155"/>
      <c r="AT88" s="155"/>
      <c r="AU88" s="155"/>
      <c r="AV88" s="155"/>
      <c r="AW88" s="155"/>
      <c r="AX88" s="157"/>
      <c r="AY88" s="157"/>
      <c r="AZ88" s="157"/>
      <c r="BA88" s="157"/>
      <c r="BB88" s="157"/>
      <c r="BH88" s="44"/>
      <c r="BI88" s="44"/>
      <c r="BJ88" s="44"/>
      <c r="BK88" s="44"/>
      <c r="BL88" s="33"/>
    </row>
    <row r="89" spans="2:64" ht="21" x14ac:dyDescent="0.6">
      <c r="B89" s="155"/>
      <c r="C89" s="155"/>
      <c r="D89" s="155"/>
      <c r="E89" s="155"/>
      <c r="F89" s="155"/>
      <c r="G89" s="270"/>
      <c r="H89" s="270"/>
      <c r="I89" s="270"/>
      <c r="J89" s="269"/>
      <c r="K89" s="269"/>
      <c r="L89" s="155"/>
      <c r="M89" s="319"/>
      <c r="N89" s="319"/>
      <c r="O89" s="319"/>
      <c r="P89" s="324"/>
      <c r="Q89" s="324"/>
      <c r="R89" s="324"/>
      <c r="S89" s="155"/>
      <c r="T89" s="323"/>
      <c r="U89" s="323"/>
      <c r="V89" s="323"/>
      <c r="W89" s="269"/>
      <c r="X89" s="269"/>
      <c r="Y89" s="160"/>
      <c r="Z89" s="184"/>
      <c r="AA89" s="203"/>
      <c r="AB89" s="321"/>
      <c r="AC89" s="321"/>
      <c r="AD89" s="197"/>
      <c r="AE89" s="184"/>
      <c r="AF89" s="160"/>
      <c r="AG89" s="184"/>
      <c r="AH89" s="203"/>
      <c r="AI89" s="321"/>
      <c r="AJ89" s="321"/>
      <c r="AK89" s="197"/>
      <c r="AL89" s="184"/>
      <c r="AM89" s="204"/>
      <c r="AN89" s="204"/>
      <c r="AO89" s="204"/>
      <c r="AP89" s="204"/>
      <c r="AQ89" s="204"/>
      <c r="AR89" s="204"/>
      <c r="AS89" s="155"/>
      <c r="AT89" s="155"/>
      <c r="AU89" s="155"/>
      <c r="AV89" s="155"/>
      <c r="AW89" s="155"/>
      <c r="AX89" s="157"/>
      <c r="AY89" s="157"/>
      <c r="AZ89" s="157"/>
      <c r="BA89" s="157"/>
      <c r="BB89" s="157"/>
      <c r="BH89" s="37"/>
      <c r="BI89" s="37"/>
      <c r="BJ89" s="37"/>
      <c r="BK89" s="37"/>
      <c r="BL89" s="33"/>
    </row>
    <row r="90" spans="2:64" ht="21" x14ac:dyDescent="0.6">
      <c r="B90" s="155"/>
      <c r="C90" s="155"/>
      <c r="D90" s="155"/>
      <c r="E90" s="155"/>
      <c r="F90" s="155"/>
      <c r="G90" s="317"/>
      <c r="H90" s="317"/>
      <c r="I90" s="317"/>
      <c r="J90" s="269"/>
      <c r="K90" s="269"/>
      <c r="L90" s="155"/>
      <c r="M90" s="319"/>
      <c r="N90" s="319"/>
      <c r="O90" s="319"/>
      <c r="P90" s="324"/>
      <c r="Q90" s="324"/>
      <c r="R90" s="324"/>
      <c r="S90" s="155"/>
      <c r="T90" s="319"/>
      <c r="U90" s="319"/>
      <c r="V90" s="319"/>
      <c r="W90" s="269"/>
      <c r="X90" s="269"/>
      <c r="Y90" s="160"/>
      <c r="Z90" s="184"/>
      <c r="AA90" s="203"/>
      <c r="AB90" s="321"/>
      <c r="AC90" s="321"/>
      <c r="AD90" s="197"/>
      <c r="AE90" s="184"/>
      <c r="AF90" s="160"/>
      <c r="AG90" s="184"/>
      <c r="AH90" s="203"/>
      <c r="AI90" s="321"/>
      <c r="AJ90" s="321"/>
      <c r="AK90" s="197"/>
      <c r="AL90" s="184"/>
      <c r="AM90" s="204"/>
      <c r="AN90" s="204"/>
      <c r="AO90" s="204"/>
      <c r="AP90" s="204"/>
      <c r="AQ90" s="204"/>
      <c r="AR90" s="204"/>
      <c r="AS90" s="155"/>
      <c r="AT90" s="155"/>
      <c r="AU90" s="155"/>
      <c r="AV90" s="155"/>
      <c r="AW90" s="155"/>
      <c r="AX90" s="157"/>
      <c r="AY90" s="157"/>
      <c r="AZ90" s="157"/>
      <c r="BA90" s="157"/>
      <c r="BB90" s="157"/>
      <c r="BH90" s="3"/>
      <c r="BI90" s="35"/>
      <c r="BJ90" s="35"/>
      <c r="BK90" s="43"/>
      <c r="BL90" s="33"/>
    </row>
    <row r="91" spans="2:64" ht="21" x14ac:dyDescent="0.6">
      <c r="B91" s="155"/>
      <c r="C91" s="155"/>
      <c r="D91" s="155"/>
      <c r="E91" s="155"/>
      <c r="F91" s="155"/>
      <c r="G91" s="318"/>
      <c r="H91" s="318"/>
      <c r="I91" s="318"/>
      <c r="J91" s="269"/>
      <c r="K91" s="269"/>
      <c r="L91" s="155"/>
      <c r="M91" s="282"/>
      <c r="N91" s="282"/>
      <c r="O91" s="282"/>
      <c r="P91" s="324"/>
      <c r="Q91" s="324"/>
      <c r="R91" s="324"/>
      <c r="S91" s="155"/>
      <c r="T91" s="322"/>
      <c r="U91" s="322"/>
      <c r="V91" s="322"/>
      <c r="W91" s="269"/>
      <c r="X91" s="269"/>
      <c r="Y91" s="160"/>
      <c r="Z91" s="184"/>
      <c r="AA91" s="203"/>
      <c r="AB91" s="321"/>
      <c r="AC91" s="321"/>
      <c r="AD91" s="197"/>
      <c r="AE91" s="184"/>
      <c r="AF91" s="160"/>
      <c r="AG91" s="184"/>
      <c r="AH91" s="203"/>
      <c r="AI91" s="321"/>
      <c r="AJ91" s="321"/>
      <c r="AK91" s="197"/>
      <c r="AL91" s="184"/>
      <c r="AM91" s="204"/>
      <c r="AN91" s="204"/>
      <c r="AO91" s="204"/>
      <c r="AP91" s="204"/>
      <c r="AQ91" s="204"/>
      <c r="AR91" s="204"/>
      <c r="AS91" s="155"/>
      <c r="AT91" s="155"/>
      <c r="AU91" s="155"/>
      <c r="AV91" s="155"/>
      <c r="AW91" s="155"/>
      <c r="AX91" s="157"/>
      <c r="AY91" s="157"/>
      <c r="AZ91" s="157"/>
      <c r="BA91" s="157"/>
      <c r="BB91" s="157"/>
      <c r="BH91" s="36"/>
      <c r="BI91" s="36"/>
      <c r="BJ91" s="36"/>
      <c r="BK91" s="36"/>
      <c r="BL91" s="33"/>
    </row>
    <row r="92" spans="2:64" ht="21" x14ac:dyDescent="0.6">
      <c r="B92" s="155"/>
      <c r="C92" s="155"/>
      <c r="D92" s="155"/>
      <c r="E92" s="155"/>
      <c r="F92" s="155"/>
      <c r="G92" s="318"/>
      <c r="H92" s="318"/>
      <c r="I92" s="318"/>
      <c r="J92" s="269"/>
      <c r="K92" s="269"/>
      <c r="L92" s="155"/>
      <c r="M92" s="282"/>
      <c r="N92" s="282"/>
      <c r="O92" s="282"/>
      <c r="P92" s="324"/>
      <c r="Q92" s="324"/>
      <c r="R92" s="324"/>
      <c r="S92" s="155"/>
      <c r="T92" s="322"/>
      <c r="U92" s="322"/>
      <c r="V92" s="322"/>
      <c r="W92" s="269"/>
      <c r="X92" s="269"/>
      <c r="Y92" s="160"/>
      <c r="Z92" s="184"/>
      <c r="AA92" s="203"/>
      <c r="AB92" s="321"/>
      <c r="AC92" s="321"/>
      <c r="AD92" s="197"/>
      <c r="AE92" s="184"/>
      <c r="AF92" s="160"/>
      <c r="AG92" s="184"/>
      <c r="AH92" s="203"/>
      <c r="AI92" s="321"/>
      <c r="AJ92" s="321"/>
      <c r="AK92" s="197"/>
      <c r="AL92" s="184"/>
      <c r="AM92" s="204"/>
      <c r="AN92" s="204"/>
      <c r="AO92" s="204"/>
      <c r="AP92" s="204"/>
      <c r="AQ92" s="204"/>
      <c r="AR92" s="204"/>
      <c r="AS92" s="155"/>
      <c r="AT92" s="155"/>
      <c r="AU92" s="155"/>
      <c r="AV92" s="155"/>
      <c r="AW92" s="155"/>
      <c r="AX92" s="157"/>
      <c r="AY92" s="157"/>
      <c r="AZ92" s="157"/>
      <c r="BA92" s="157"/>
      <c r="BB92" s="157"/>
      <c r="BH92" s="37"/>
      <c r="BI92" s="13"/>
      <c r="BJ92" s="35"/>
      <c r="BK92" s="43"/>
      <c r="BL92" s="33"/>
    </row>
    <row r="93" spans="2:64" ht="23.25" x14ac:dyDescent="0.6">
      <c r="B93" s="155"/>
      <c r="C93" s="155"/>
      <c r="D93" s="155"/>
      <c r="E93" s="155"/>
      <c r="F93" s="155"/>
      <c r="G93" s="318"/>
      <c r="H93" s="318"/>
      <c r="I93" s="318"/>
      <c r="J93" s="269"/>
      <c r="K93" s="269"/>
      <c r="L93" s="155"/>
      <c r="M93" s="282"/>
      <c r="N93" s="282"/>
      <c r="O93" s="282"/>
      <c r="P93" s="324"/>
      <c r="Q93" s="324"/>
      <c r="R93" s="324"/>
      <c r="S93" s="155"/>
      <c r="T93" s="322"/>
      <c r="U93" s="322"/>
      <c r="V93" s="322"/>
      <c r="W93" s="269"/>
      <c r="X93" s="269"/>
      <c r="Y93" s="160"/>
      <c r="Z93" s="184"/>
      <c r="AA93" s="200"/>
      <c r="AB93" s="327"/>
      <c r="AC93" s="327"/>
      <c r="AD93" s="200"/>
      <c r="AE93" s="184"/>
      <c r="AF93" s="160"/>
      <c r="AG93" s="184"/>
      <c r="AH93" s="200"/>
      <c r="AI93" s="327"/>
      <c r="AJ93" s="327"/>
      <c r="AK93" s="200"/>
      <c r="AL93" s="184"/>
      <c r="AM93" s="204"/>
      <c r="AN93" s="204"/>
      <c r="AO93" s="204"/>
      <c r="AP93" s="204"/>
      <c r="AQ93" s="204"/>
      <c r="AR93" s="204"/>
      <c r="AS93" s="155"/>
      <c r="AT93" s="155"/>
      <c r="AU93" s="155"/>
      <c r="AV93" s="155"/>
      <c r="AW93" s="155"/>
      <c r="AX93" s="157"/>
      <c r="AY93" s="157"/>
      <c r="AZ93" s="157"/>
      <c r="BA93" s="157"/>
      <c r="BB93" s="157"/>
      <c r="BH93" s="37"/>
      <c r="BI93" s="36"/>
      <c r="BJ93" s="36"/>
      <c r="BK93" s="36"/>
      <c r="BL93" s="33"/>
    </row>
    <row r="94" spans="2:64" ht="19.5" x14ac:dyDescent="0.6">
      <c r="B94" s="155"/>
      <c r="C94" s="155"/>
      <c r="D94" s="155"/>
      <c r="E94" s="155"/>
      <c r="F94" s="155"/>
      <c r="G94" s="318"/>
      <c r="H94" s="318"/>
      <c r="I94" s="318"/>
      <c r="J94" s="269"/>
      <c r="K94" s="269"/>
      <c r="L94" s="155"/>
      <c r="M94" s="282"/>
      <c r="N94" s="282"/>
      <c r="O94" s="282"/>
      <c r="P94" s="324"/>
      <c r="Q94" s="324"/>
      <c r="R94" s="324"/>
      <c r="S94" s="155"/>
      <c r="T94" s="322"/>
      <c r="U94" s="322"/>
      <c r="V94" s="322"/>
      <c r="W94" s="269"/>
      <c r="X94" s="269"/>
      <c r="Y94" s="160"/>
      <c r="Z94" s="155"/>
      <c r="AA94" s="155"/>
      <c r="AB94" s="155"/>
      <c r="AC94" s="155"/>
      <c r="AD94" s="155"/>
      <c r="AE94" s="155"/>
      <c r="AF94" s="160"/>
      <c r="AG94" s="160"/>
      <c r="AH94" s="160"/>
      <c r="AI94" s="204"/>
      <c r="AJ94" s="204"/>
      <c r="AK94" s="204"/>
      <c r="AL94" s="204"/>
      <c r="AM94" s="204"/>
      <c r="AN94" s="204"/>
      <c r="AO94" s="204"/>
      <c r="AP94" s="204"/>
      <c r="AQ94" s="204"/>
      <c r="AR94" s="204"/>
      <c r="AS94" s="155"/>
      <c r="AT94" s="155"/>
      <c r="AU94" s="155"/>
      <c r="AV94" s="155"/>
      <c r="AW94" s="155"/>
      <c r="AX94" s="157"/>
      <c r="AY94" s="157"/>
      <c r="AZ94" s="157"/>
      <c r="BA94" s="157"/>
      <c r="BB94" s="157"/>
      <c r="BH94" s="37"/>
      <c r="BI94" s="37"/>
      <c r="BJ94" s="37"/>
      <c r="BK94" s="37"/>
      <c r="BL94" s="33"/>
    </row>
    <row r="95" spans="2:64" ht="19.5" x14ac:dyDescent="0.6">
      <c r="B95" s="155"/>
      <c r="C95" s="155"/>
      <c r="D95" s="155"/>
      <c r="E95" s="155"/>
      <c r="F95" s="155"/>
      <c r="G95" s="160"/>
      <c r="H95" s="160"/>
      <c r="I95" s="160"/>
      <c r="J95" s="201"/>
      <c r="K95" s="160"/>
      <c r="L95" s="160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  <c r="AL95" s="155"/>
      <c r="AM95" s="155"/>
      <c r="AN95" s="155"/>
      <c r="AO95" s="155"/>
      <c r="AP95" s="155"/>
      <c r="AQ95" s="155"/>
      <c r="AR95" s="155"/>
      <c r="AS95" s="155"/>
      <c r="AT95" s="155"/>
      <c r="AU95" s="155"/>
      <c r="AV95" s="155"/>
      <c r="AW95" s="155"/>
      <c r="AX95" s="157"/>
      <c r="AY95" s="157"/>
      <c r="AZ95" s="157"/>
      <c r="BA95" s="157"/>
      <c r="BB95" s="157"/>
      <c r="BH95" s="37"/>
      <c r="BI95" s="36"/>
      <c r="BJ95" s="36"/>
      <c r="BK95" s="36"/>
      <c r="BL95" s="33"/>
    </row>
    <row r="96" spans="2:64" ht="24" customHeight="1" x14ac:dyDescent="0.6">
      <c r="B96" s="155"/>
      <c r="C96" s="155"/>
      <c r="D96" s="155"/>
      <c r="E96" s="155"/>
      <c r="F96" s="155"/>
      <c r="G96" s="160"/>
      <c r="H96" s="160"/>
      <c r="I96" s="160"/>
      <c r="J96" s="201"/>
      <c r="K96" s="160"/>
      <c r="L96" s="160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  <c r="AK96" s="155"/>
      <c r="AL96" s="155"/>
      <c r="AM96" s="155"/>
      <c r="AN96" s="155"/>
      <c r="AO96" s="155"/>
      <c r="AP96" s="155"/>
      <c r="AQ96" s="155"/>
      <c r="AR96" s="155"/>
      <c r="AS96" s="155"/>
      <c r="AT96" s="155"/>
      <c r="AU96" s="155"/>
      <c r="AV96" s="155"/>
      <c r="AW96" s="155"/>
      <c r="AX96" s="157"/>
      <c r="AY96" s="157"/>
      <c r="AZ96" s="157"/>
      <c r="BA96" s="157"/>
      <c r="BB96" s="157"/>
      <c r="BH96" s="37"/>
      <c r="BI96" s="36"/>
      <c r="BJ96" s="36"/>
      <c r="BK96" s="36"/>
      <c r="BL96" s="33"/>
    </row>
    <row r="97" spans="2:64" ht="19.5" customHeight="1" x14ac:dyDescent="0.65">
      <c r="B97" s="155"/>
      <c r="C97" s="155"/>
      <c r="D97" s="155"/>
      <c r="E97" s="155"/>
      <c r="F97" s="155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5"/>
      <c r="AW97" s="155"/>
      <c r="AX97" s="157"/>
      <c r="AY97" s="157"/>
      <c r="AZ97" s="157"/>
      <c r="BA97" s="157"/>
      <c r="BB97" s="157"/>
      <c r="BH97" s="37"/>
      <c r="BI97" s="36"/>
      <c r="BJ97" s="36"/>
      <c r="BK97" s="35"/>
      <c r="BL97" s="33"/>
    </row>
    <row r="98" spans="2:64" ht="19.5" customHeight="1" x14ac:dyDescent="0.6">
      <c r="B98" s="155"/>
      <c r="C98" s="155"/>
      <c r="D98" s="155"/>
      <c r="E98" s="155"/>
      <c r="F98" s="155"/>
      <c r="G98" s="298"/>
      <c r="H98" s="298"/>
      <c r="I98" s="298"/>
      <c r="J98" s="298"/>
      <c r="K98" s="298"/>
      <c r="L98" s="155"/>
      <c r="M98" s="298"/>
      <c r="N98" s="298"/>
      <c r="O98" s="298"/>
      <c r="P98" s="298"/>
      <c r="Q98" s="298"/>
      <c r="R98" s="298"/>
      <c r="S98" s="155"/>
      <c r="T98" s="298"/>
      <c r="U98" s="298"/>
      <c r="V98" s="298"/>
      <c r="W98" s="298"/>
      <c r="X98" s="298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  <c r="AI98" s="155"/>
      <c r="AJ98" s="155"/>
      <c r="AK98" s="155"/>
      <c r="AL98" s="155"/>
      <c r="AM98" s="155"/>
      <c r="AN98" s="155"/>
      <c r="AO98" s="155"/>
      <c r="AP98" s="155"/>
      <c r="AQ98" s="155"/>
      <c r="AR98" s="155"/>
      <c r="AS98" s="155"/>
      <c r="AT98" s="155"/>
      <c r="AU98" s="155"/>
      <c r="AV98" s="155"/>
      <c r="AW98" s="155"/>
      <c r="AX98" s="157"/>
      <c r="AY98" s="157"/>
      <c r="AZ98" s="157"/>
      <c r="BA98" s="157"/>
      <c r="BB98" s="157"/>
      <c r="BH98" s="37"/>
      <c r="BI98" s="36"/>
      <c r="BJ98" s="36"/>
      <c r="BK98" s="36"/>
      <c r="BL98" s="33"/>
    </row>
    <row r="99" spans="2:64" ht="19.5" x14ac:dyDescent="0.6">
      <c r="B99" s="155"/>
      <c r="C99" s="155"/>
      <c r="D99" s="155"/>
      <c r="E99" s="155"/>
      <c r="F99" s="155"/>
      <c r="G99" s="298"/>
      <c r="H99" s="298"/>
      <c r="I99" s="298"/>
      <c r="J99" s="298"/>
      <c r="K99" s="298"/>
      <c r="L99" s="155"/>
      <c r="M99" s="298"/>
      <c r="N99" s="298"/>
      <c r="O99" s="298"/>
      <c r="P99" s="298"/>
      <c r="Q99" s="298"/>
      <c r="R99" s="298"/>
      <c r="S99" s="155"/>
      <c r="T99" s="298"/>
      <c r="U99" s="298"/>
      <c r="V99" s="298"/>
      <c r="W99" s="298"/>
      <c r="X99" s="298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  <c r="AK99" s="155"/>
      <c r="AL99" s="155"/>
      <c r="AM99" s="155"/>
      <c r="AN99" s="155"/>
      <c r="AO99" s="155"/>
      <c r="AP99" s="155"/>
      <c r="AQ99" s="155"/>
      <c r="AR99" s="155"/>
      <c r="AS99" s="155"/>
      <c r="AT99" s="155"/>
      <c r="AU99" s="155"/>
      <c r="AV99" s="155"/>
      <c r="AW99" s="155"/>
      <c r="AX99" s="157"/>
      <c r="AY99" s="157"/>
      <c r="AZ99" s="157"/>
      <c r="BA99" s="157"/>
      <c r="BB99" s="157"/>
      <c r="BH99" s="37"/>
      <c r="BI99" s="36"/>
      <c r="BJ99" s="36"/>
      <c r="BK99" s="36"/>
      <c r="BL99" s="33"/>
    </row>
    <row r="100" spans="2:64" ht="19.5" x14ac:dyDescent="0.6">
      <c r="B100" s="155"/>
      <c r="C100" s="155"/>
      <c r="D100" s="155"/>
      <c r="E100" s="155"/>
      <c r="F100" s="155"/>
      <c r="G100" s="285"/>
      <c r="H100" s="285"/>
      <c r="I100" s="285"/>
      <c r="J100" s="269"/>
      <c r="K100" s="269"/>
      <c r="L100" s="155"/>
      <c r="M100" s="282"/>
      <c r="N100" s="282"/>
      <c r="O100" s="282"/>
      <c r="P100" s="316"/>
      <c r="Q100" s="316"/>
      <c r="R100" s="316"/>
      <c r="S100" s="155"/>
      <c r="T100" s="334"/>
      <c r="U100" s="334"/>
      <c r="V100" s="334"/>
      <c r="W100" s="269"/>
      <c r="X100" s="269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/>
      <c r="AL100" s="155"/>
      <c r="AM100" s="155"/>
      <c r="AN100" s="155"/>
      <c r="AO100" s="155"/>
      <c r="AP100" s="155"/>
      <c r="AQ100" s="155"/>
      <c r="AR100" s="155"/>
      <c r="AS100" s="155"/>
      <c r="AT100" s="155"/>
      <c r="AU100" s="155"/>
      <c r="AV100" s="155"/>
      <c r="AW100" s="155"/>
      <c r="AX100" s="157"/>
      <c r="AY100" s="157"/>
      <c r="AZ100" s="157"/>
      <c r="BA100" s="157"/>
      <c r="BB100" s="157"/>
      <c r="BH100" s="37"/>
      <c r="BI100" s="37"/>
      <c r="BJ100" s="37"/>
      <c r="BK100" s="37"/>
      <c r="BL100" s="33"/>
    </row>
    <row r="101" spans="2:64" ht="19.5" x14ac:dyDescent="0.6">
      <c r="B101" s="155"/>
      <c r="C101" s="155"/>
      <c r="D101" s="155"/>
      <c r="E101" s="155"/>
      <c r="F101" s="155"/>
      <c r="G101" s="285"/>
      <c r="H101" s="285"/>
      <c r="I101" s="285"/>
      <c r="J101" s="281"/>
      <c r="K101" s="281"/>
      <c r="L101" s="155"/>
      <c r="M101" s="282"/>
      <c r="N101" s="282"/>
      <c r="O101" s="282"/>
      <c r="P101" s="326"/>
      <c r="Q101" s="326"/>
      <c r="R101" s="326"/>
      <c r="S101" s="155"/>
      <c r="T101" s="334"/>
      <c r="U101" s="334"/>
      <c r="V101" s="334"/>
      <c r="W101" s="281"/>
      <c r="X101" s="281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5"/>
      <c r="AJ101" s="155"/>
      <c r="AK101" s="155"/>
      <c r="AL101" s="155"/>
      <c r="AM101" s="155"/>
      <c r="AN101" s="155"/>
      <c r="AO101" s="155"/>
      <c r="AP101" s="155"/>
      <c r="AQ101" s="155"/>
      <c r="AR101" s="155"/>
      <c r="AS101" s="155"/>
      <c r="AT101" s="155"/>
      <c r="AU101" s="155"/>
      <c r="AV101" s="155"/>
      <c r="AW101" s="155"/>
      <c r="AX101" s="157"/>
      <c r="AY101" s="157"/>
      <c r="AZ101" s="157"/>
      <c r="BA101" s="157"/>
      <c r="BB101" s="157"/>
      <c r="BH101" s="37"/>
      <c r="BI101" s="36"/>
      <c r="BJ101" s="36"/>
      <c r="BK101" s="36"/>
      <c r="BL101" s="33"/>
    </row>
    <row r="102" spans="2:64" ht="19.5" x14ac:dyDescent="0.6">
      <c r="B102" s="155"/>
      <c r="C102" s="155"/>
      <c r="D102" s="155"/>
      <c r="E102" s="155"/>
      <c r="F102" s="155"/>
      <c r="G102" s="285"/>
      <c r="H102" s="285"/>
      <c r="I102" s="285"/>
      <c r="J102" s="269"/>
      <c r="K102" s="269"/>
      <c r="L102" s="155"/>
      <c r="M102" s="282"/>
      <c r="N102" s="282"/>
      <c r="O102" s="282"/>
      <c r="P102" s="324"/>
      <c r="Q102" s="324"/>
      <c r="R102" s="324"/>
      <c r="S102" s="155"/>
      <c r="T102" s="334"/>
      <c r="U102" s="334"/>
      <c r="V102" s="334"/>
      <c r="W102" s="269"/>
      <c r="X102" s="269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  <c r="AK102" s="155"/>
      <c r="AL102" s="155"/>
      <c r="AM102" s="155"/>
      <c r="AN102" s="155"/>
      <c r="AO102" s="155"/>
      <c r="AP102" s="155"/>
      <c r="AQ102" s="155"/>
      <c r="AR102" s="155"/>
      <c r="AS102" s="155"/>
      <c r="AT102" s="155"/>
      <c r="AU102" s="155"/>
      <c r="AV102" s="155"/>
      <c r="AW102" s="155"/>
      <c r="AX102" s="157"/>
      <c r="AY102" s="157"/>
      <c r="AZ102" s="157"/>
      <c r="BA102" s="157"/>
      <c r="BB102" s="157"/>
      <c r="BH102" s="33"/>
      <c r="BI102" s="33"/>
      <c r="BJ102" s="33"/>
      <c r="BK102" s="33"/>
      <c r="BL102" s="33"/>
    </row>
    <row r="103" spans="2:64" ht="19.5" x14ac:dyDescent="0.6">
      <c r="B103" s="155"/>
      <c r="C103" s="155"/>
      <c r="D103" s="155"/>
      <c r="E103" s="155"/>
      <c r="F103" s="155"/>
      <c r="G103" s="285"/>
      <c r="H103" s="285"/>
      <c r="I103" s="285"/>
      <c r="J103" s="269"/>
      <c r="K103" s="269"/>
      <c r="L103" s="155"/>
      <c r="M103" s="282"/>
      <c r="N103" s="282"/>
      <c r="O103" s="282"/>
      <c r="P103" s="324"/>
      <c r="Q103" s="324"/>
      <c r="R103" s="324"/>
      <c r="S103" s="155"/>
      <c r="T103" s="334"/>
      <c r="U103" s="334"/>
      <c r="V103" s="334"/>
      <c r="W103" s="269"/>
      <c r="X103" s="269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  <c r="AK103" s="155"/>
      <c r="AL103" s="155"/>
      <c r="AM103" s="155"/>
      <c r="AN103" s="155"/>
      <c r="AO103" s="155"/>
      <c r="AP103" s="155"/>
      <c r="AQ103" s="155"/>
      <c r="AR103" s="155"/>
      <c r="AS103" s="155"/>
      <c r="AT103" s="155"/>
      <c r="AU103" s="155"/>
      <c r="AV103" s="155"/>
      <c r="AW103" s="155"/>
      <c r="AX103" s="157"/>
      <c r="AY103" s="157"/>
      <c r="AZ103" s="157"/>
      <c r="BA103" s="157"/>
      <c r="BB103" s="157"/>
      <c r="BH103" s="33"/>
      <c r="BI103" s="33"/>
      <c r="BJ103" s="33"/>
      <c r="BK103" s="33"/>
      <c r="BL103" s="33"/>
    </row>
    <row r="104" spans="2:64" ht="19.5" x14ac:dyDescent="0.6">
      <c r="B104" s="155"/>
      <c r="C104" s="155"/>
      <c r="D104" s="155"/>
      <c r="E104" s="155"/>
      <c r="F104" s="155"/>
      <c r="G104" s="285"/>
      <c r="H104" s="285"/>
      <c r="I104" s="285"/>
      <c r="J104" s="269"/>
      <c r="K104" s="269"/>
      <c r="L104" s="155"/>
      <c r="M104" s="282"/>
      <c r="N104" s="282"/>
      <c r="O104" s="282"/>
      <c r="P104" s="324"/>
      <c r="Q104" s="324"/>
      <c r="R104" s="324"/>
      <c r="S104" s="155"/>
      <c r="T104" s="334"/>
      <c r="U104" s="334"/>
      <c r="V104" s="334"/>
      <c r="W104" s="269"/>
      <c r="X104" s="269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5"/>
      <c r="AW104" s="155"/>
      <c r="AX104" s="157"/>
      <c r="AY104" s="157"/>
      <c r="AZ104" s="157"/>
      <c r="BA104" s="157"/>
      <c r="BB104" s="157"/>
      <c r="BH104" s="33"/>
      <c r="BI104" s="33"/>
      <c r="BJ104" s="33"/>
      <c r="BK104" s="33"/>
      <c r="BL104" s="33"/>
    </row>
    <row r="105" spans="2:64" ht="19.5" x14ac:dyDescent="0.6">
      <c r="B105" s="155"/>
      <c r="C105" s="155"/>
      <c r="D105" s="155"/>
      <c r="E105" s="155"/>
      <c r="F105" s="155"/>
      <c r="G105" s="285"/>
      <c r="H105" s="285"/>
      <c r="I105" s="285"/>
      <c r="J105" s="269"/>
      <c r="K105" s="269"/>
      <c r="L105" s="155"/>
      <c r="M105" s="282"/>
      <c r="N105" s="282"/>
      <c r="O105" s="282"/>
      <c r="P105" s="324"/>
      <c r="Q105" s="324"/>
      <c r="R105" s="324"/>
      <c r="S105" s="155"/>
      <c r="T105" s="334"/>
      <c r="U105" s="334"/>
      <c r="V105" s="334"/>
      <c r="W105" s="269"/>
      <c r="X105" s="269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/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155"/>
      <c r="AW105" s="155"/>
      <c r="AX105" s="157"/>
      <c r="AY105" s="157"/>
      <c r="AZ105" s="157"/>
      <c r="BA105" s="157"/>
      <c r="BB105" s="157"/>
      <c r="BH105" s="33"/>
      <c r="BI105" s="33"/>
      <c r="BJ105" s="33"/>
      <c r="BK105" s="33"/>
      <c r="BL105" s="33"/>
    </row>
    <row r="106" spans="2:64" ht="19.5" x14ac:dyDescent="0.6">
      <c r="B106" s="155"/>
      <c r="C106" s="155"/>
      <c r="D106" s="155"/>
      <c r="E106" s="155"/>
      <c r="F106" s="155"/>
      <c r="G106" s="270"/>
      <c r="H106" s="270"/>
      <c r="I106" s="270"/>
      <c r="J106" s="269"/>
      <c r="K106" s="269"/>
      <c r="L106" s="155"/>
      <c r="M106" s="319"/>
      <c r="N106" s="319"/>
      <c r="O106" s="319"/>
      <c r="P106" s="324"/>
      <c r="Q106" s="324"/>
      <c r="R106" s="324"/>
      <c r="S106" s="155"/>
      <c r="T106" s="335"/>
      <c r="U106" s="335"/>
      <c r="V106" s="335"/>
      <c r="W106" s="269"/>
      <c r="X106" s="269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5"/>
      <c r="AV106" s="155"/>
      <c r="AW106" s="155"/>
      <c r="AX106" s="157"/>
      <c r="AY106" s="157"/>
      <c r="AZ106" s="157"/>
      <c r="BA106" s="157"/>
      <c r="BB106" s="157"/>
      <c r="BH106" s="33"/>
      <c r="BI106" s="33"/>
      <c r="BJ106" s="33"/>
      <c r="BK106" s="33"/>
      <c r="BL106" s="33"/>
    </row>
    <row r="107" spans="2:64" ht="19.5" x14ac:dyDescent="0.6">
      <c r="B107" s="155"/>
      <c r="C107" s="155"/>
      <c r="D107" s="155"/>
      <c r="E107" s="155"/>
      <c r="F107" s="155"/>
      <c r="G107" s="317"/>
      <c r="H107" s="317"/>
      <c r="I107" s="317"/>
      <c r="J107" s="269"/>
      <c r="K107" s="269"/>
      <c r="L107" s="155"/>
      <c r="M107" s="319"/>
      <c r="N107" s="319"/>
      <c r="O107" s="319"/>
      <c r="P107" s="324"/>
      <c r="Q107" s="324"/>
      <c r="R107" s="324"/>
      <c r="S107" s="155"/>
      <c r="T107" s="336"/>
      <c r="U107" s="336"/>
      <c r="V107" s="336"/>
      <c r="W107" s="269"/>
      <c r="X107" s="269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  <c r="AK107" s="155"/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5"/>
      <c r="AW107" s="155"/>
      <c r="AX107" s="157"/>
      <c r="AY107" s="157"/>
      <c r="AZ107" s="157"/>
      <c r="BA107" s="157"/>
      <c r="BB107" s="157"/>
      <c r="BH107" s="33"/>
      <c r="BI107" s="33"/>
      <c r="BJ107" s="33"/>
      <c r="BK107" s="33"/>
      <c r="BL107" s="33"/>
    </row>
    <row r="108" spans="2:64" ht="19.5" x14ac:dyDescent="0.6">
      <c r="B108" s="155"/>
      <c r="C108" s="155"/>
      <c r="D108" s="155"/>
      <c r="E108" s="155"/>
      <c r="F108" s="155"/>
      <c r="G108" s="318"/>
      <c r="H108" s="318"/>
      <c r="I108" s="318"/>
      <c r="J108" s="269"/>
      <c r="K108" s="269"/>
      <c r="L108" s="155"/>
      <c r="M108" s="282"/>
      <c r="N108" s="282"/>
      <c r="O108" s="282"/>
      <c r="P108" s="324"/>
      <c r="Q108" s="324"/>
      <c r="R108" s="324"/>
      <c r="S108" s="155"/>
      <c r="T108" s="337"/>
      <c r="U108" s="337"/>
      <c r="V108" s="337"/>
      <c r="W108" s="269"/>
      <c r="X108" s="269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  <c r="AK108" s="155"/>
      <c r="AL108" s="155"/>
      <c r="AM108" s="155"/>
      <c r="AN108" s="155"/>
      <c r="AO108" s="155"/>
      <c r="AP108" s="155"/>
      <c r="AQ108" s="155"/>
      <c r="AR108" s="155"/>
      <c r="AS108" s="155"/>
      <c r="AT108" s="155"/>
      <c r="AU108" s="155"/>
      <c r="AV108" s="155"/>
      <c r="AW108" s="155"/>
      <c r="AX108" s="157"/>
      <c r="AY108" s="157"/>
      <c r="AZ108" s="157"/>
      <c r="BA108" s="157"/>
      <c r="BB108" s="157"/>
      <c r="BH108" s="33"/>
      <c r="BI108" s="33"/>
      <c r="BJ108" s="33"/>
      <c r="BK108" s="33"/>
      <c r="BL108" s="33"/>
    </row>
    <row r="109" spans="2:64" ht="19.5" x14ac:dyDescent="0.6">
      <c r="B109" s="155"/>
      <c r="C109" s="155"/>
      <c r="D109" s="155"/>
      <c r="E109" s="155"/>
      <c r="F109" s="155"/>
      <c r="G109" s="318"/>
      <c r="H109" s="318"/>
      <c r="I109" s="318"/>
      <c r="J109" s="269"/>
      <c r="K109" s="269"/>
      <c r="L109" s="155"/>
      <c r="M109" s="282"/>
      <c r="N109" s="282"/>
      <c r="O109" s="282"/>
      <c r="P109" s="324"/>
      <c r="Q109" s="324"/>
      <c r="R109" s="324"/>
      <c r="S109" s="155"/>
      <c r="T109" s="337"/>
      <c r="U109" s="337"/>
      <c r="V109" s="337"/>
      <c r="W109" s="269"/>
      <c r="X109" s="269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7"/>
      <c r="AY109" s="157"/>
      <c r="AZ109" s="157"/>
      <c r="BA109" s="157"/>
      <c r="BB109" s="157"/>
      <c r="BH109" s="33"/>
      <c r="BI109" s="33"/>
      <c r="BJ109" s="33"/>
      <c r="BK109" s="33"/>
      <c r="BL109" s="33"/>
    </row>
    <row r="110" spans="2:64" ht="19.5" x14ac:dyDescent="0.6">
      <c r="B110" s="155"/>
      <c r="C110" s="155"/>
      <c r="D110" s="155"/>
      <c r="E110" s="155"/>
      <c r="F110" s="155"/>
      <c r="G110" s="318"/>
      <c r="H110" s="318"/>
      <c r="I110" s="318"/>
      <c r="J110" s="269"/>
      <c r="K110" s="269"/>
      <c r="L110" s="155"/>
      <c r="M110" s="282"/>
      <c r="N110" s="282"/>
      <c r="O110" s="282"/>
      <c r="P110" s="324"/>
      <c r="Q110" s="324"/>
      <c r="R110" s="324"/>
      <c r="S110" s="155"/>
      <c r="T110" s="337"/>
      <c r="U110" s="337"/>
      <c r="V110" s="337"/>
      <c r="W110" s="269"/>
      <c r="X110" s="269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  <c r="AL110" s="155"/>
      <c r="AM110" s="160"/>
      <c r="AN110" s="160"/>
      <c r="AO110" s="155"/>
      <c r="AP110" s="155"/>
      <c r="AQ110" s="155"/>
      <c r="AR110" s="155"/>
      <c r="AS110" s="160"/>
      <c r="AT110" s="160"/>
      <c r="AU110" s="160"/>
      <c r="AV110" s="160"/>
      <c r="AW110" s="160"/>
      <c r="AX110" s="204"/>
      <c r="AY110" s="204"/>
      <c r="AZ110" s="204"/>
      <c r="BA110" s="204"/>
      <c r="BB110" s="204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</row>
    <row r="111" spans="2:64" ht="19.5" x14ac:dyDescent="0.6">
      <c r="B111" s="155"/>
      <c r="C111" s="155"/>
      <c r="D111" s="155"/>
      <c r="E111" s="155"/>
      <c r="F111" s="155"/>
      <c r="G111" s="318"/>
      <c r="H111" s="318"/>
      <c r="I111" s="318"/>
      <c r="J111" s="269"/>
      <c r="K111" s="269"/>
      <c r="L111" s="155"/>
      <c r="M111" s="282"/>
      <c r="N111" s="282"/>
      <c r="O111" s="282"/>
      <c r="P111" s="324"/>
      <c r="Q111" s="324"/>
      <c r="R111" s="324"/>
      <c r="S111" s="155"/>
      <c r="T111" s="337"/>
      <c r="U111" s="337"/>
      <c r="V111" s="337"/>
      <c r="W111" s="269"/>
      <c r="X111" s="269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  <c r="AL111" s="155"/>
      <c r="AM111" s="160"/>
      <c r="AN111" s="160"/>
      <c r="AO111" s="155"/>
      <c r="AP111" s="155"/>
      <c r="AQ111" s="155"/>
      <c r="AR111" s="155"/>
      <c r="AS111" s="160"/>
      <c r="AT111" s="160"/>
      <c r="AU111" s="160"/>
      <c r="AV111" s="160"/>
      <c r="AW111" s="160"/>
      <c r="AX111" s="204"/>
      <c r="AY111" s="204"/>
      <c r="AZ111" s="204"/>
      <c r="BA111" s="204"/>
      <c r="BB111" s="204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</row>
    <row r="112" spans="2:64" ht="19.5" x14ac:dyDescent="0.6">
      <c r="B112" s="155"/>
      <c r="C112" s="155"/>
      <c r="D112" s="155"/>
      <c r="E112" s="155"/>
      <c r="F112" s="155"/>
      <c r="G112" s="190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  <c r="AK112" s="155"/>
      <c r="AL112" s="155"/>
      <c r="AM112" s="155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204"/>
      <c r="AY112" s="204"/>
      <c r="AZ112" s="204"/>
      <c r="BA112" s="204"/>
      <c r="BB112" s="204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</row>
    <row r="113" spans="2:64" ht="19.5" x14ac:dyDescent="0.6">
      <c r="B113" s="155"/>
      <c r="C113" s="155"/>
      <c r="D113" s="155"/>
      <c r="E113" s="155"/>
      <c r="F113" s="155"/>
      <c r="G113" s="190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  <c r="AI113" s="155"/>
      <c r="AJ113" s="155"/>
      <c r="AK113" s="155"/>
      <c r="AL113" s="155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204"/>
      <c r="AY113" s="204"/>
      <c r="AZ113" s="204"/>
      <c r="BA113" s="204"/>
      <c r="BB113" s="204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</row>
    <row r="114" spans="2:64" ht="19.5" x14ac:dyDescent="0.6"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</row>
    <row r="115" spans="2:64" ht="19.5" x14ac:dyDescent="0.6"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</row>
    <row r="116" spans="2:64" ht="19.5" x14ac:dyDescent="0.6"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</row>
    <row r="117" spans="2:64" ht="19.5" x14ac:dyDescent="0.6"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</row>
    <row r="118" spans="2:64" ht="19.5" x14ac:dyDescent="0.6"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</row>
    <row r="119" spans="2:64" ht="19.5" x14ac:dyDescent="0.6"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</row>
    <row r="120" spans="2:64" ht="19.5" x14ac:dyDescent="0.6"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</row>
    <row r="121" spans="2:64" ht="19.5" x14ac:dyDescent="0.6"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</row>
    <row r="122" spans="2:64" ht="19.5" x14ac:dyDescent="0.6"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</row>
    <row r="123" spans="2:64" ht="19.5" x14ac:dyDescent="0.6"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</row>
    <row r="124" spans="2:64" ht="19.5" x14ac:dyDescent="0.6"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</row>
    <row r="125" spans="2:64" ht="19.5" x14ac:dyDescent="0.6"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</row>
    <row r="126" spans="2:64" ht="19.5" x14ac:dyDescent="0.6"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</row>
    <row r="127" spans="2:64" ht="19.5" x14ac:dyDescent="0.6"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</row>
    <row r="128" spans="2:64" ht="19.5" x14ac:dyDescent="0.6"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</row>
    <row r="129" spans="40:64" ht="19.5" x14ac:dyDescent="0.6"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</row>
    <row r="130" spans="40:64" ht="19.5" x14ac:dyDescent="0.6"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</row>
    <row r="131" spans="40:64" ht="19.5" x14ac:dyDescent="0.6"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</row>
    <row r="132" spans="40:64" ht="19.5" x14ac:dyDescent="0.6"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</row>
    <row r="133" spans="40:64" ht="19.5" x14ac:dyDescent="0.6"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</row>
    <row r="134" spans="40:64" ht="19.5" x14ac:dyDescent="0.6"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</row>
    <row r="135" spans="40:64" ht="19.5" x14ac:dyDescent="0.6"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</row>
    <row r="136" spans="40:64" ht="19.5" x14ac:dyDescent="0.6"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</row>
    <row r="137" spans="40:64" ht="19.5" x14ac:dyDescent="0.6"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</row>
    <row r="138" spans="40:64" ht="19.5" x14ac:dyDescent="0.6"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</row>
    <row r="139" spans="40:64" ht="19.5" x14ac:dyDescent="0.6"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</row>
    <row r="140" spans="40:64" ht="19.5" x14ac:dyDescent="0.6"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</row>
    <row r="141" spans="40:64" ht="19.5" x14ac:dyDescent="0.6"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</row>
    <row r="142" spans="40:64" ht="19.5" x14ac:dyDescent="0.6"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</row>
    <row r="143" spans="40:64" ht="19.5" x14ac:dyDescent="0.6"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</row>
    <row r="144" spans="40:64" ht="19.5" x14ac:dyDescent="0.6"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</row>
    <row r="145" spans="39:64" ht="19.5" x14ac:dyDescent="0.6"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</row>
    <row r="146" spans="39:64" ht="19.5" x14ac:dyDescent="0.6"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</row>
    <row r="147" spans="39:64" ht="19.5" x14ac:dyDescent="0.6"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</row>
    <row r="148" spans="39:64" ht="19.5" x14ac:dyDescent="0.6"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</row>
    <row r="149" spans="39:64" ht="19.5" x14ac:dyDescent="0.6"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</row>
    <row r="150" spans="39:64" ht="19.5" x14ac:dyDescent="0.6"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</row>
    <row r="151" spans="39:64" ht="19.5" x14ac:dyDescent="0.6"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</row>
    <row r="152" spans="39:64" ht="19.5" x14ac:dyDescent="0.6"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</row>
    <row r="153" spans="39:64" ht="19.5" x14ac:dyDescent="0.6"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</row>
    <row r="154" spans="39:64" ht="19.5" x14ac:dyDescent="0.6"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</row>
    <row r="155" spans="39:64" ht="19.5" x14ac:dyDescent="0.6"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</row>
    <row r="156" spans="39:64" ht="19.5" x14ac:dyDescent="0.6"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</row>
    <row r="157" spans="39:64" ht="19.5" x14ac:dyDescent="0.6"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</row>
    <row r="158" spans="39:64" ht="19.5" x14ac:dyDescent="0.6"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</row>
    <row r="159" spans="39:64" ht="19.5" x14ac:dyDescent="0.6"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</row>
    <row r="160" spans="39:64" ht="19.5" x14ac:dyDescent="0.6"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</row>
    <row r="161" spans="39:64" ht="19.5" x14ac:dyDescent="0.6"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</row>
    <row r="162" spans="39:64" ht="19.5" x14ac:dyDescent="0.6"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</row>
    <row r="163" spans="39:64" ht="19.5" x14ac:dyDescent="0.6"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</row>
    <row r="164" spans="39:64" ht="19.5" x14ac:dyDescent="0.6"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</row>
    <row r="165" spans="39:64" ht="19.5" x14ac:dyDescent="0.6"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</row>
    <row r="166" spans="39:64" ht="19.5" x14ac:dyDescent="0.6"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</row>
    <row r="167" spans="39:64" ht="19.5" x14ac:dyDescent="0.6"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</row>
    <row r="168" spans="39:64" ht="19.5" x14ac:dyDescent="0.6"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</row>
    <row r="169" spans="39:64" ht="19.5" x14ac:dyDescent="0.6"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</row>
    <row r="170" spans="39:64" ht="19.5" x14ac:dyDescent="0.6"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</row>
    <row r="171" spans="39:64" ht="19.5" x14ac:dyDescent="0.6"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</row>
    <row r="172" spans="39:64" ht="19.5" x14ac:dyDescent="0.6"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</row>
    <row r="173" spans="39:64" ht="19.5" x14ac:dyDescent="0.6"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</row>
    <row r="174" spans="39:64" ht="19.5" x14ac:dyDescent="0.6"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</row>
    <row r="175" spans="39:64" ht="19.5" x14ac:dyDescent="0.6"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</row>
    <row r="176" spans="39:64" ht="19.5" x14ac:dyDescent="0.6"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</row>
    <row r="177" spans="39:64" ht="19.5" x14ac:dyDescent="0.6"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</row>
    <row r="178" spans="39:64" ht="19.5" x14ac:dyDescent="0.6"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</row>
    <row r="179" spans="39:64" ht="19.5" x14ac:dyDescent="0.6"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</row>
    <row r="180" spans="39:64" ht="19.5" x14ac:dyDescent="0.6"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</row>
    <row r="181" spans="39:64" ht="19.5" x14ac:dyDescent="0.6"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</row>
    <row r="182" spans="39:64" ht="19.5" x14ac:dyDescent="0.6"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</row>
    <row r="183" spans="39:64" ht="19.5" x14ac:dyDescent="0.6"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</row>
    <row r="184" spans="39:64" ht="19.5" x14ac:dyDescent="0.6"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</row>
    <row r="185" spans="39:64" ht="19.5" x14ac:dyDescent="0.6"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</row>
    <row r="186" spans="39:64" ht="19.5" x14ac:dyDescent="0.6"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</row>
    <row r="187" spans="39:64" ht="19.5" x14ac:dyDescent="0.6"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</row>
    <row r="188" spans="39:64" ht="19.5" x14ac:dyDescent="0.6"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</row>
    <row r="189" spans="39:64" ht="19.5" x14ac:dyDescent="0.6"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</row>
    <row r="190" spans="39:64" ht="19.5" x14ac:dyDescent="0.6"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</row>
    <row r="191" spans="39:64" ht="19.5" x14ac:dyDescent="0.6"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</row>
    <row r="192" spans="39:64" ht="19.5" x14ac:dyDescent="0.6"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</row>
    <row r="193" spans="39:64" ht="19.5" x14ac:dyDescent="0.6"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</row>
    <row r="194" spans="39:64" ht="19.5" x14ac:dyDescent="0.6"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</row>
    <row r="195" spans="39:64" ht="19.5" x14ac:dyDescent="0.6"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</row>
    <row r="196" spans="39:64" ht="19.5" x14ac:dyDescent="0.6"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</row>
    <row r="197" spans="39:64" ht="19.5" x14ac:dyDescent="0.6"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</row>
    <row r="198" spans="39:64" ht="19.5" x14ac:dyDescent="0.6"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</row>
    <row r="199" spans="39:64" ht="19.5" x14ac:dyDescent="0.6"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</row>
    <row r="200" spans="39:64" ht="19.5" x14ac:dyDescent="0.6"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</row>
    <row r="201" spans="39:64" ht="19.5" x14ac:dyDescent="0.6"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</row>
    <row r="202" spans="39:64" ht="19.5" x14ac:dyDescent="0.6"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</row>
    <row r="203" spans="39:64" ht="19.5" x14ac:dyDescent="0.6"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</row>
    <row r="204" spans="39:64" ht="19.5" x14ac:dyDescent="0.6"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</row>
    <row r="205" spans="39:64" ht="19.5" x14ac:dyDescent="0.6"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</row>
    <row r="206" spans="39:64" ht="19.5" x14ac:dyDescent="0.6"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</row>
    <row r="207" spans="39:64" ht="19.5" x14ac:dyDescent="0.6"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</row>
    <row r="208" spans="39:64" ht="19.5" x14ac:dyDescent="0.6"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</row>
    <row r="209" spans="39:64" ht="19.5" x14ac:dyDescent="0.6"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</row>
    <row r="210" spans="39:64" ht="19.5" x14ac:dyDescent="0.6"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</row>
    <row r="211" spans="39:64" ht="19.5" x14ac:dyDescent="0.6"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39:64" ht="19.5" x14ac:dyDescent="0.6"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39:64" ht="19.5" x14ac:dyDescent="0.6"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39:64" ht="19.5" x14ac:dyDescent="0.6"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39:64" ht="19.5" x14ac:dyDescent="0.6"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39:64" ht="19.5" x14ac:dyDescent="0.6"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39:64" ht="19.5" x14ac:dyDescent="0.6"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39:64" x14ac:dyDescent="0.45"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39:64" x14ac:dyDescent="0.45"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39:64" x14ac:dyDescent="0.45"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39:64" x14ac:dyDescent="0.45"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39:64" x14ac:dyDescent="0.45"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39:64" x14ac:dyDescent="0.45"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39:64" x14ac:dyDescent="0.45"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</sheetData>
  <mergeCells count="435">
    <mergeCell ref="B2:K2"/>
    <mergeCell ref="L2:N2"/>
    <mergeCell ref="O2:T2"/>
    <mergeCell ref="B3:K3"/>
    <mergeCell ref="DK10:DM10"/>
    <mergeCell ref="DG10:DI10"/>
    <mergeCell ref="DC10:DE10"/>
    <mergeCell ref="CY10:DA10"/>
    <mergeCell ref="CU10:CW10"/>
    <mergeCell ref="CA6:CR7"/>
    <mergeCell ref="CA8:CD8"/>
    <mergeCell ref="CE8:CG8"/>
    <mergeCell ref="CA10:CR10"/>
    <mergeCell ref="BH10:BY10"/>
    <mergeCell ref="F7:T7"/>
    <mergeCell ref="F8:T8"/>
    <mergeCell ref="O4:Q4"/>
    <mergeCell ref="B4:C4"/>
    <mergeCell ref="D4:F4"/>
    <mergeCell ref="B7:E8"/>
    <mergeCell ref="O5:T5"/>
    <mergeCell ref="I6:K6"/>
    <mergeCell ref="L6:M6"/>
    <mergeCell ref="B6:E6"/>
    <mergeCell ref="DK8:DM8"/>
    <mergeCell ref="CU8:CW8"/>
    <mergeCell ref="S4:T4"/>
    <mergeCell ref="BH6:BY7"/>
    <mergeCell ref="BH8:BK8"/>
    <mergeCell ref="BL8:BN8"/>
    <mergeCell ref="BU8:BY8"/>
    <mergeCell ref="AO8:AR8"/>
    <mergeCell ref="AS8:AU8"/>
    <mergeCell ref="BB8:BF8"/>
    <mergeCell ref="AO6:BF7"/>
    <mergeCell ref="V5:X5"/>
    <mergeCell ref="Y5:AC5"/>
    <mergeCell ref="CN8:CR8"/>
    <mergeCell ref="G111:I111"/>
    <mergeCell ref="J111:K111"/>
    <mergeCell ref="M111:O111"/>
    <mergeCell ref="P111:R111"/>
    <mergeCell ref="T111:V111"/>
    <mergeCell ref="W111:X111"/>
    <mergeCell ref="G109:I109"/>
    <mergeCell ref="J109:K109"/>
    <mergeCell ref="M109:O109"/>
    <mergeCell ref="P109:R109"/>
    <mergeCell ref="T109:V109"/>
    <mergeCell ref="W109:X109"/>
    <mergeCell ref="G110:I110"/>
    <mergeCell ref="J110:K110"/>
    <mergeCell ref="M110:O110"/>
    <mergeCell ref="P110:R110"/>
    <mergeCell ref="T110:V110"/>
    <mergeCell ref="W110:X110"/>
    <mergeCell ref="P107:R107"/>
    <mergeCell ref="T107:V107"/>
    <mergeCell ref="W107:X107"/>
    <mergeCell ref="G108:I108"/>
    <mergeCell ref="J108:K108"/>
    <mergeCell ref="M108:O108"/>
    <mergeCell ref="P108:R108"/>
    <mergeCell ref="T108:V108"/>
    <mergeCell ref="W108:X108"/>
    <mergeCell ref="G107:I107"/>
    <mergeCell ref="J107:K107"/>
    <mergeCell ref="M107:O107"/>
    <mergeCell ref="G105:I105"/>
    <mergeCell ref="J105:K105"/>
    <mergeCell ref="M105:O105"/>
    <mergeCell ref="P105:R105"/>
    <mergeCell ref="T105:V105"/>
    <mergeCell ref="W105:X105"/>
    <mergeCell ref="G106:I106"/>
    <mergeCell ref="J106:K106"/>
    <mergeCell ref="M106:O106"/>
    <mergeCell ref="P106:R106"/>
    <mergeCell ref="T106:V106"/>
    <mergeCell ref="W106:X106"/>
    <mergeCell ref="G103:I103"/>
    <mergeCell ref="J103:K103"/>
    <mergeCell ref="M103:O103"/>
    <mergeCell ref="P103:R103"/>
    <mergeCell ref="T103:V103"/>
    <mergeCell ref="W103:X103"/>
    <mergeCell ref="G104:I104"/>
    <mergeCell ref="J104:K104"/>
    <mergeCell ref="M104:O104"/>
    <mergeCell ref="P104:R104"/>
    <mergeCell ref="T104:V104"/>
    <mergeCell ref="W104:X104"/>
    <mergeCell ref="G101:I101"/>
    <mergeCell ref="J101:K101"/>
    <mergeCell ref="M101:O101"/>
    <mergeCell ref="P101:R101"/>
    <mergeCell ref="T101:V101"/>
    <mergeCell ref="W101:X101"/>
    <mergeCell ref="G102:I102"/>
    <mergeCell ref="J102:K102"/>
    <mergeCell ref="M102:O102"/>
    <mergeCell ref="P102:R102"/>
    <mergeCell ref="T102:V102"/>
    <mergeCell ref="W102:X102"/>
    <mergeCell ref="G88:I88"/>
    <mergeCell ref="J88:K88"/>
    <mergeCell ref="M88:O88"/>
    <mergeCell ref="P88:R88"/>
    <mergeCell ref="G98:K99"/>
    <mergeCell ref="M98:R99"/>
    <mergeCell ref="T98:X99"/>
    <mergeCell ref="G100:I100"/>
    <mergeCell ref="J100:K100"/>
    <mergeCell ref="M100:O100"/>
    <mergeCell ref="P100:R100"/>
    <mergeCell ref="T100:V100"/>
    <mergeCell ref="W100:X100"/>
    <mergeCell ref="G97:X97"/>
    <mergeCell ref="W93:X93"/>
    <mergeCell ref="G92:I92"/>
    <mergeCell ref="J92:K92"/>
    <mergeCell ref="M92:O92"/>
    <mergeCell ref="P92:R92"/>
    <mergeCell ref="T92:V92"/>
    <mergeCell ref="G93:I93"/>
    <mergeCell ref="J93:K93"/>
    <mergeCell ref="M93:O93"/>
    <mergeCell ref="P93:R93"/>
    <mergeCell ref="T93:V93"/>
    <mergeCell ref="G94:I94"/>
    <mergeCell ref="J94:K94"/>
    <mergeCell ref="M94:O94"/>
    <mergeCell ref="P94:R94"/>
    <mergeCell ref="T94:V94"/>
    <mergeCell ref="W94:X94"/>
    <mergeCell ref="W92:X92"/>
    <mergeCell ref="G89:I89"/>
    <mergeCell ref="J89:K89"/>
    <mergeCell ref="M89:O89"/>
    <mergeCell ref="P89:R89"/>
    <mergeCell ref="T89:V89"/>
    <mergeCell ref="W89:X89"/>
    <mergeCell ref="G90:I90"/>
    <mergeCell ref="J90:K90"/>
    <mergeCell ref="M90:O90"/>
    <mergeCell ref="P90:R90"/>
    <mergeCell ref="T90:V90"/>
    <mergeCell ref="W90:X90"/>
    <mergeCell ref="W91:X91"/>
    <mergeCell ref="G91:I91"/>
    <mergeCell ref="J91:K91"/>
    <mergeCell ref="M91:O91"/>
    <mergeCell ref="P91:R91"/>
    <mergeCell ref="T91:V91"/>
    <mergeCell ref="T88:V88"/>
    <mergeCell ref="W74:X74"/>
    <mergeCell ref="G85:I85"/>
    <mergeCell ref="J85:K85"/>
    <mergeCell ref="M85:O85"/>
    <mergeCell ref="P85:R85"/>
    <mergeCell ref="T85:V85"/>
    <mergeCell ref="W85:X85"/>
    <mergeCell ref="G81:X81"/>
    <mergeCell ref="G82:K83"/>
    <mergeCell ref="M82:R83"/>
    <mergeCell ref="M77:O77"/>
    <mergeCell ref="M78:O78"/>
    <mergeCell ref="G77:I77"/>
    <mergeCell ref="T78:V78"/>
    <mergeCell ref="M84:O84"/>
    <mergeCell ref="P84:R84"/>
    <mergeCell ref="T84:V84"/>
    <mergeCell ref="T82:X83"/>
    <mergeCell ref="W88:X88"/>
    <mergeCell ref="G84:I84"/>
    <mergeCell ref="J84:K84"/>
    <mergeCell ref="W84:X84"/>
    <mergeCell ref="G78:I78"/>
    <mergeCell ref="W86:X86"/>
    <mergeCell ref="G87:I87"/>
    <mergeCell ref="J87:K87"/>
    <mergeCell ref="M87:O87"/>
    <mergeCell ref="P87:R87"/>
    <mergeCell ref="T87:V87"/>
    <mergeCell ref="W87:X87"/>
    <mergeCell ref="G86:I86"/>
    <mergeCell ref="J86:K86"/>
    <mergeCell ref="M86:O86"/>
    <mergeCell ref="P86:R86"/>
    <mergeCell ref="T86:V86"/>
    <mergeCell ref="W78:X78"/>
    <mergeCell ref="P78:R78"/>
    <mergeCell ref="AK81:AL81"/>
    <mergeCell ref="AG82:AG83"/>
    <mergeCell ref="AH82:AH83"/>
    <mergeCell ref="AI82:AJ83"/>
    <mergeCell ref="AK82:AK83"/>
    <mergeCell ref="AL82:AL83"/>
    <mergeCell ref="AI84:AJ84"/>
    <mergeCell ref="AI85:AJ85"/>
    <mergeCell ref="AI86:AJ86"/>
    <mergeCell ref="AB93:AC93"/>
    <mergeCell ref="AG81:AH81"/>
    <mergeCell ref="AI81:AJ81"/>
    <mergeCell ref="Z81:AA81"/>
    <mergeCell ref="AB81:AC81"/>
    <mergeCell ref="Z82:Z83"/>
    <mergeCell ref="AA82:AA83"/>
    <mergeCell ref="AB82:AC83"/>
    <mergeCell ref="AD82:AD83"/>
    <mergeCell ref="AI88:AJ88"/>
    <mergeCell ref="AI89:AJ89"/>
    <mergeCell ref="AI90:AJ90"/>
    <mergeCell ref="AI91:AJ91"/>
    <mergeCell ref="AI92:AJ92"/>
    <mergeCell ref="AI93:AJ93"/>
    <mergeCell ref="AD81:AE81"/>
    <mergeCell ref="AI87:AJ87"/>
    <mergeCell ref="AB86:AC86"/>
    <mergeCell ref="AB87:AC87"/>
    <mergeCell ref="AB88:AC88"/>
    <mergeCell ref="AB89:AC89"/>
    <mergeCell ref="AB90:AC90"/>
    <mergeCell ref="AB91:AC91"/>
    <mergeCell ref="AB92:AC92"/>
    <mergeCell ref="P77:R77"/>
    <mergeCell ref="P76:R76"/>
    <mergeCell ref="P75:R75"/>
    <mergeCell ref="P74:R74"/>
    <mergeCell ref="P73:R73"/>
    <mergeCell ref="P72:R72"/>
    <mergeCell ref="P71:R71"/>
    <mergeCell ref="P69:R69"/>
    <mergeCell ref="P70:R70"/>
    <mergeCell ref="G74:I74"/>
    <mergeCell ref="J74:K74"/>
    <mergeCell ref="G75:I75"/>
    <mergeCell ref="J75:K75"/>
    <mergeCell ref="M73:O73"/>
    <mergeCell ref="M74:O74"/>
    <mergeCell ref="AE82:AE83"/>
    <mergeCell ref="AB84:AC84"/>
    <mergeCell ref="AB85:AC85"/>
    <mergeCell ref="T75:V75"/>
    <mergeCell ref="W75:X75"/>
    <mergeCell ref="T76:V76"/>
    <mergeCell ref="W76:X76"/>
    <mergeCell ref="T77:V77"/>
    <mergeCell ref="W77:X77"/>
    <mergeCell ref="J78:K78"/>
    <mergeCell ref="M75:O75"/>
    <mergeCell ref="M76:O76"/>
    <mergeCell ref="J77:K77"/>
    <mergeCell ref="T73:V73"/>
    <mergeCell ref="T74:V74"/>
    <mergeCell ref="G76:I76"/>
    <mergeCell ref="J76:K76"/>
    <mergeCell ref="W73:X73"/>
    <mergeCell ref="W69:X69"/>
    <mergeCell ref="T70:V70"/>
    <mergeCell ref="W70:X70"/>
    <mergeCell ref="W71:X71"/>
    <mergeCell ref="T72:V72"/>
    <mergeCell ref="W72:X72"/>
    <mergeCell ref="P68:R68"/>
    <mergeCell ref="T71:V71"/>
    <mergeCell ref="T68:V68"/>
    <mergeCell ref="T69:V69"/>
    <mergeCell ref="W68:X68"/>
    <mergeCell ref="AJ67:AM67"/>
    <mergeCell ref="AJ66:AM66"/>
    <mergeCell ref="G65:X65"/>
    <mergeCell ref="AE67:AH67"/>
    <mergeCell ref="AO66:AR66"/>
    <mergeCell ref="AO67:AR67"/>
    <mergeCell ref="AE66:AH66"/>
    <mergeCell ref="G68:I68"/>
    <mergeCell ref="L32:M32"/>
    <mergeCell ref="N40:O40"/>
    <mergeCell ref="J42:K42"/>
    <mergeCell ref="G66:K67"/>
    <mergeCell ref="M68:O68"/>
    <mergeCell ref="T66:X67"/>
    <mergeCell ref="Z66:AC66"/>
    <mergeCell ref="Z67:AC67"/>
    <mergeCell ref="M66:R67"/>
    <mergeCell ref="M48:O49"/>
    <mergeCell ref="P48:T49"/>
    <mergeCell ref="M46:N47"/>
    <mergeCell ref="P46:T47"/>
    <mergeCell ref="N35:O35"/>
    <mergeCell ref="N38:O38"/>
    <mergeCell ref="L38:M38"/>
    <mergeCell ref="J68:K68"/>
    <mergeCell ref="G73:I73"/>
    <mergeCell ref="J73:K73"/>
    <mergeCell ref="P44:Q45"/>
    <mergeCell ref="R44:T45"/>
    <mergeCell ref="J69:K69"/>
    <mergeCell ref="J70:K70"/>
    <mergeCell ref="M70:O70"/>
    <mergeCell ref="M69:O69"/>
    <mergeCell ref="M71:O71"/>
    <mergeCell ref="M72:O72"/>
    <mergeCell ref="G71:I71"/>
    <mergeCell ref="G69:I69"/>
    <mergeCell ref="G70:I70"/>
    <mergeCell ref="J71:K71"/>
    <mergeCell ref="G72:I72"/>
    <mergeCell ref="J72:K72"/>
    <mergeCell ref="O46:O47"/>
    <mergeCell ref="O44:O45"/>
    <mergeCell ref="B49:C49"/>
    <mergeCell ref="D49:F49"/>
    <mergeCell ref="J49:K49"/>
    <mergeCell ref="J47:K47"/>
    <mergeCell ref="J46:K46"/>
    <mergeCell ref="J45:K45"/>
    <mergeCell ref="D45:F45"/>
    <mergeCell ref="D44:F44"/>
    <mergeCell ref="B48:C48"/>
    <mergeCell ref="D48:F48"/>
    <mergeCell ref="J48:K48"/>
    <mergeCell ref="B46:C46"/>
    <mergeCell ref="B47:C47"/>
    <mergeCell ref="B44:C44"/>
    <mergeCell ref="B42:C42"/>
    <mergeCell ref="D43:F43"/>
    <mergeCell ref="D42:F42"/>
    <mergeCell ref="B45:C45"/>
    <mergeCell ref="B43:C43"/>
    <mergeCell ref="L26:M26"/>
    <mergeCell ref="D47:F47"/>
    <mergeCell ref="D46:F46"/>
    <mergeCell ref="J44:K44"/>
    <mergeCell ref="M44:N45"/>
    <mergeCell ref="N26:O26"/>
    <mergeCell ref="N32:O32"/>
    <mergeCell ref="N31:O31"/>
    <mergeCell ref="N30:O30"/>
    <mergeCell ref="L27:M27"/>
    <mergeCell ref="M43:O43"/>
    <mergeCell ref="J41:K41"/>
    <mergeCell ref="L36:M36"/>
    <mergeCell ref="N36:O36"/>
    <mergeCell ref="N34:O34"/>
    <mergeCell ref="L34:M34"/>
    <mergeCell ref="L35:M35"/>
    <mergeCell ref="N37:O37"/>
    <mergeCell ref="L37:M37"/>
    <mergeCell ref="N20:O20"/>
    <mergeCell ref="N14:O14"/>
    <mergeCell ref="N12:O12"/>
    <mergeCell ref="N16:O16"/>
    <mergeCell ref="L39:M39"/>
    <mergeCell ref="N39:O39"/>
    <mergeCell ref="L16:M16"/>
    <mergeCell ref="L14:M14"/>
    <mergeCell ref="L20:M20"/>
    <mergeCell ref="N25:O25"/>
    <mergeCell ref="N27:O27"/>
    <mergeCell ref="L28:M28"/>
    <mergeCell ref="N15:O15"/>
    <mergeCell ref="L25:M25"/>
    <mergeCell ref="L19:M19"/>
    <mergeCell ref="N33:O33"/>
    <mergeCell ref="L31:M31"/>
    <mergeCell ref="L13:M13"/>
    <mergeCell ref="L12:M12"/>
    <mergeCell ref="L15:M15"/>
    <mergeCell ref="N18:O18"/>
    <mergeCell ref="L18:M18"/>
    <mergeCell ref="N10:O10"/>
    <mergeCell ref="J43:K43"/>
    <mergeCell ref="N28:O28"/>
    <mergeCell ref="L17:M17"/>
    <mergeCell ref="N13:O13"/>
    <mergeCell ref="M42:O42"/>
    <mergeCell ref="L33:M33"/>
    <mergeCell ref="N11:O11"/>
    <mergeCell ref="B10:M10"/>
    <mergeCell ref="L11:M11"/>
    <mergeCell ref="L30:M30"/>
    <mergeCell ref="L29:M29"/>
    <mergeCell ref="N29:O29"/>
    <mergeCell ref="L21:M21"/>
    <mergeCell ref="N21:O21"/>
    <mergeCell ref="L24:M24"/>
    <mergeCell ref="N24:O24"/>
    <mergeCell ref="N17:O17"/>
    <mergeCell ref="L40:M40"/>
    <mergeCell ref="L22:M22"/>
    <mergeCell ref="N22:O22"/>
    <mergeCell ref="L23:M23"/>
    <mergeCell ref="N23:O23"/>
    <mergeCell ref="N19:O19"/>
    <mergeCell ref="DO6:DQ7"/>
    <mergeCell ref="DO8:DQ8"/>
    <mergeCell ref="DO10:DQ10"/>
    <mergeCell ref="G5:N5"/>
    <mergeCell ref="CU6:CW7"/>
    <mergeCell ref="CY6:DA7"/>
    <mergeCell ref="CY8:DA8"/>
    <mergeCell ref="P10:T10"/>
    <mergeCell ref="P6:Q6"/>
    <mergeCell ref="R6:T6"/>
    <mergeCell ref="N6:O6"/>
    <mergeCell ref="AI8:AM8"/>
    <mergeCell ref="V6:AM7"/>
    <mergeCell ref="V8:Y8"/>
    <mergeCell ref="Z8:AB8"/>
    <mergeCell ref="V10:AM10"/>
    <mergeCell ref="AO10:BF10"/>
    <mergeCell ref="DC6:DE7"/>
    <mergeCell ref="DC8:DE8"/>
    <mergeCell ref="DG6:DI7"/>
    <mergeCell ref="DG8:DI8"/>
    <mergeCell ref="DK6:DM7"/>
    <mergeCell ref="N9:O9"/>
    <mergeCell ref="L9:M9"/>
    <mergeCell ref="V3:X3"/>
    <mergeCell ref="BC5:BD5"/>
    <mergeCell ref="AP5:AQ5"/>
    <mergeCell ref="AP4:AQ4"/>
    <mergeCell ref="BC4:BD4"/>
    <mergeCell ref="V4:X4"/>
    <mergeCell ref="Y4:AC4"/>
    <mergeCell ref="F6:G6"/>
    <mergeCell ref="H4:K4"/>
    <mergeCell ref="L4:N4"/>
    <mergeCell ref="L3:N3"/>
    <mergeCell ref="O3:T3"/>
    <mergeCell ref="BC3:BD3"/>
    <mergeCell ref="AP3:AQ3"/>
    <mergeCell ref="Y3:AC3"/>
  </mergeCells>
  <phoneticPr fontId="27" type="noConversion"/>
  <conditionalFormatting sqref="B42 P42:T43 U42:U44 J42:J45 G43:I45 G46:J50">
    <cfRule type="cellIs" dxfId="3" priority="220" operator="equal">
      <formula>0</formula>
    </cfRule>
  </conditionalFormatting>
  <conditionalFormatting sqref="P10">
    <cfRule type="cellIs" dxfId="2" priority="75" operator="equal">
      <formula>0</formula>
    </cfRule>
  </conditionalFormatting>
  <conditionalFormatting sqref="U10:U39 P11:T39 BT11:BT40 CM11:CM40 P40:U41 H42:I42">
    <cfRule type="cellIs" dxfId="1" priority="218" operator="equal">
      <formula>0</formula>
    </cfRule>
  </conditionalFormatting>
  <conditionalFormatting sqref="CS22:CS23 D42:D49">
    <cfRule type="cellIs" dxfId="0" priority="219" operator="equal">
      <formula>0</formula>
    </cfRule>
  </conditionalFormatting>
  <dataValidations disablePrompts="1" count="1">
    <dataValidation type="list" allowBlank="1" showInputMessage="1" sqref="O4 L41:L42" xr:uid="{00000000-0002-0000-0000-000002000000}">
      <formula1>#REF!</formula1>
    </dataValidation>
  </dataValidations>
  <printOptions horizontalCentered="1" verticalCentered="1"/>
  <pageMargins left="0.11811023622047245" right="0.11811023622047245" top="0.11811023622047245" bottom="0.15748031496062992" header="0" footer="0"/>
  <pageSetup paperSize="9" scale="6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7F5A-0D99-49BB-9D7A-99554D92FC7C}">
  <dimension ref="B3:H62"/>
  <sheetViews>
    <sheetView zoomScale="70" zoomScaleNormal="70" workbookViewId="0">
      <selection activeCell="F5" sqref="F5"/>
    </sheetView>
  </sheetViews>
  <sheetFormatPr defaultRowHeight="21" x14ac:dyDescent="0.65"/>
  <cols>
    <col min="2" max="2" width="13.06640625" style="68" customWidth="1"/>
    <col min="3" max="3" width="51.796875" style="69" customWidth="1"/>
    <col min="4" max="4" width="31.06640625" style="70" customWidth="1"/>
    <col min="5" max="5" width="29.796875" style="70" customWidth="1"/>
    <col min="6" max="6" width="24.59765625" style="82" bestFit="1" customWidth="1"/>
    <col min="7" max="7" width="14.33203125" customWidth="1"/>
    <col min="8" max="8" width="25.9296875" customWidth="1"/>
  </cols>
  <sheetData>
    <row r="3" spans="2:8" x14ac:dyDescent="0.65">
      <c r="B3" s="64" t="s">
        <v>55</v>
      </c>
      <c r="C3" s="65" t="s">
        <v>56</v>
      </c>
      <c r="D3" s="66" t="s">
        <v>57</v>
      </c>
      <c r="E3" s="66" t="s">
        <v>1</v>
      </c>
      <c r="F3" s="66" t="s">
        <v>2</v>
      </c>
      <c r="G3" s="67" t="s">
        <v>3</v>
      </c>
      <c r="H3" s="67" t="s">
        <v>58</v>
      </c>
    </row>
    <row r="4" spans="2:8" x14ac:dyDescent="0.65">
      <c r="B4" s="68">
        <v>1</v>
      </c>
      <c r="C4" s="69" t="s">
        <v>59</v>
      </c>
      <c r="D4" s="70" t="s">
        <v>60</v>
      </c>
      <c r="E4" s="70" t="s">
        <v>61</v>
      </c>
      <c r="F4" s="71" t="s">
        <v>62</v>
      </c>
      <c r="H4" t="s">
        <v>4</v>
      </c>
    </row>
    <row r="5" spans="2:8" x14ac:dyDescent="0.65">
      <c r="B5" s="68">
        <v>2</v>
      </c>
      <c r="C5" s="69" t="s">
        <v>0</v>
      </c>
      <c r="D5" s="70" t="s">
        <v>63</v>
      </c>
      <c r="E5" s="70" t="s">
        <v>64</v>
      </c>
      <c r="F5" s="71" t="s">
        <v>65</v>
      </c>
      <c r="H5" t="s">
        <v>66</v>
      </c>
    </row>
    <row r="6" spans="2:8" x14ac:dyDescent="0.65">
      <c r="B6" s="68">
        <v>3</v>
      </c>
      <c r="C6" s="69" t="s">
        <v>67</v>
      </c>
      <c r="D6" s="70" t="s">
        <v>68</v>
      </c>
      <c r="E6" s="70" t="s">
        <v>69</v>
      </c>
      <c r="F6" s="72">
        <v>81495570588</v>
      </c>
      <c r="H6" t="s">
        <v>70</v>
      </c>
    </row>
    <row r="7" spans="2:8" x14ac:dyDescent="0.65">
      <c r="B7" s="68">
        <v>4</v>
      </c>
      <c r="C7" s="69" t="s">
        <v>71</v>
      </c>
      <c r="D7" s="70" t="s">
        <v>72</v>
      </c>
      <c r="E7" s="70" t="s">
        <v>69</v>
      </c>
      <c r="F7" s="73">
        <v>44965049838</v>
      </c>
      <c r="G7" s="74"/>
      <c r="H7" t="s">
        <v>73</v>
      </c>
    </row>
    <row r="8" spans="2:8" x14ac:dyDescent="0.65">
      <c r="B8" s="68">
        <v>5</v>
      </c>
      <c r="C8" s="69" t="s">
        <v>74</v>
      </c>
      <c r="D8" s="70" t="s">
        <v>75</v>
      </c>
      <c r="E8" s="70" t="s">
        <v>69</v>
      </c>
      <c r="F8" s="75" t="s">
        <v>76</v>
      </c>
      <c r="H8" t="s">
        <v>77</v>
      </c>
    </row>
    <row r="9" spans="2:8" x14ac:dyDescent="0.65">
      <c r="B9" s="68">
        <v>6</v>
      </c>
      <c r="C9" s="69" t="s">
        <v>78</v>
      </c>
      <c r="D9" s="70" t="s">
        <v>79</v>
      </c>
      <c r="E9" s="70" t="s">
        <v>80</v>
      </c>
      <c r="F9" s="73">
        <v>11479284461</v>
      </c>
      <c r="H9" t="s">
        <v>81</v>
      </c>
    </row>
    <row r="10" spans="2:8" x14ac:dyDescent="0.65">
      <c r="B10" s="68">
        <v>7</v>
      </c>
      <c r="C10" s="69" t="s">
        <v>82</v>
      </c>
      <c r="D10" s="70" t="s">
        <v>83</v>
      </c>
      <c r="E10" s="70" t="s">
        <v>84</v>
      </c>
      <c r="F10" s="73">
        <v>56168319515</v>
      </c>
      <c r="H10" t="s">
        <v>85</v>
      </c>
    </row>
    <row r="11" spans="2:8" x14ac:dyDescent="0.65">
      <c r="B11" s="68">
        <v>8</v>
      </c>
      <c r="C11" s="69" t="s">
        <v>86</v>
      </c>
      <c r="D11" s="70" t="s">
        <v>87</v>
      </c>
      <c r="E11" s="70" t="s">
        <v>69</v>
      </c>
      <c r="F11" s="73">
        <v>85229719963</v>
      </c>
      <c r="H11" t="s">
        <v>28</v>
      </c>
    </row>
    <row r="12" spans="2:8" x14ac:dyDescent="0.65">
      <c r="B12" s="68">
        <v>9</v>
      </c>
      <c r="C12" s="69" t="s">
        <v>88</v>
      </c>
      <c r="D12" s="70" t="s">
        <v>89</v>
      </c>
      <c r="E12" s="70" t="s">
        <v>90</v>
      </c>
      <c r="F12" s="73">
        <v>40316144679</v>
      </c>
      <c r="H12" t="s">
        <v>91</v>
      </c>
    </row>
    <row r="13" spans="2:8" x14ac:dyDescent="0.65">
      <c r="B13" s="68">
        <v>10</v>
      </c>
      <c r="C13" s="69" t="s">
        <v>92</v>
      </c>
      <c r="D13" s="70" t="s">
        <v>93</v>
      </c>
      <c r="E13" s="70" t="s">
        <v>61</v>
      </c>
      <c r="F13" s="73">
        <v>18591626140</v>
      </c>
      <c r="G13" s="73"/>
      <c r="H13" t="s">
        <v>94</v>
      </c>
    </row>
    <row r="14" spans="2:8" x14ac:dyDescent="0.65">
      <c r="B14" s="68">
        <v>11</v>
      </c>
      <c r="C14" s="69" t="s">
        <v>95</v>
      </c>
      <c r="D14" s="70" t="s">
        <v>96</v>
      </c>
      <c r="E14" s="70" t="s">
        <v>69</v>
      </c>
      <c r="F14" s="76">
        <v>95345244091</v>
      </c>
      <c r="H14" t="s">
        <v>97</v>
      </c>
    </row>
    <row r="15" spans="2:8" x14ac:dyDescent="0.65">
      <c r="B15" s="68">
        <v>12</v>
      </c>
      <c r="C15" s="69" t="s">
        <v>98</v>
      </c>
      <c r="D15" s="70" t="s">
        <v>99</v>
      </c>
      <c r="E15" s="70" t="s">
        <v>61</v>
      </c>
      <c r="F15" s="73">
        <v>41619623140</v>
      </c>
      <c r="G15" s="77"/>
      <c r="H15" t="s">
        <v>100</v>
      </c>
    </row>
    <row r="16" spans="2:8" x14ac:dyDescent="0.65">
      <c r="B16" s="68">
        <v>13</v>
      </c>
      <c r="C16" s="69" t="s">
        <v>101</v>
      </c>
      <c r="D16" s="70" t="s">
        <v>102</v>
      </c>
      <c r="E16" s="70" t="s">
        <v>103</v>
      </c>
      <c r="F16" s="73">
        <v>23860978460</v>
      </c>
    </row>
    <row r="17" spans="2:8" x14ac:dyDescent="0.65">
      <c r="B17" s="68">
        <v>14</v>
      </c>
      <c r="C17" s="69" t="s">
        <v>104</v>
      </c>
      <c r="D17" s="70" t="s">
        <v>105</v>
      </c>
      <c r="E17" s="70" t="s">
        <v>106</v>
      </c>
      <c r="F17" s="73">
        <v>69627603943</v>
      </c>
      <c r="H17" t="s">
        <v>107</v>
      </c>
    </row>
    <row r="18" spans="2:8" x14ac:dyDescent="0.65">
      <c r="B18" s="68">
        <v>15</v>
      </c>
      <c r="C18" s="69" t="s">
        <v>108</v>
      </c>
      <c r="D18" s="70" t="s">
        <v>109</v>
      </c>
      <c r="E18" s="70" t="s">
        <v>110</v>
      </c>
      <c r="F18" s="73">
        <v>86338617420</v>
      </c>
    </row>
    <row r="19" spans="2:8" x14ac:dyDescent="0.65">
      <c r="B19" s="68">
        <v>16</v>
      </c>
      <c r="C19" s="69" t="s">
        <v>111</v>
      </c>
      <c r="D19" s="70" t="s">
        <v>112</v>
      </c>
      <c r="E19" s="70" t="s">
        <v>113</v>
      </c>
      <c r="F19" s="73" t="s">
        <v>114</v>
      </c>
    </row>
    <row r="20" spans="2:8" x14ac:dyDescent="0.65">
      <c r="B20" s="68">
        <v>17</v>
      </c>
      <c r="C20" s="69" t="s">
        <v>115</v>
      </c>
      <c r="D20" s="70" t="s">
        <v>116</v>
      </c>
      <c r="E20" s="70" t="s">
        <v>117</v>
      </c>
      <c r="F20" s="73">
        <v>54289000463</v>
      </c>
      <c r="H20" t="s">
        <v>118</v>
      </c>
    </row>
    <row r="21" spans="2:8" x14ac:dyDescent="0.65">
      <c r="B21" s="68">
        <v>18</v>
      </c>
      <c r="C21" s="69" t="s">
        <v>119</v>
      </c>
      <c r="D21" s="70" t="s">
        <v>120</v>
      </c>
      <c r="E21" s="70" t="s">
        <v>121</v>
      </c>
      <c r="F21" s="73">
        <v>28558908722</v>
      </c>
    </row>
    <row r="22" spans="2:8" x14ac:dyDescent="0.65">
      <c r="B22" s="68">
        <v>19</v>
      </c>
      <c r="C22" s="69" t="s">
        <v>122</v>
      </c>
      <c r="D22" s="70" t="s">
        <v>123</v>
      </c>
      <c r="E22" s="70" t="s">
        <v>124</v>
      </c>
      <c r="F22" s="73">
        <v>45205582649</v>
      </c>
    </row>
    <row r="23" spans="2:8" x14ac:dyDescent="0.65">
      <c r="B23" s="68">
        <v>20</v>
      </c>
      <c r="C23" s="69" t="s">
        <v>125</v>
      </c>
      <c r="D23" s="70" t="s">
        <v>126</v>
      </c>
      <c r="E23" s="70" t="s">
        <v>127</v>
      </c>
      <c r="F23" s="73">
        <v>13824554156</v>
      </c>
    </row>
    <row r="24" spans="2:8" x14ac:dyDescent="0.65">
      <c r="B24" s="68">
        <v>21</v>
      </c>
      <c r="C24" s="69" t="s">
        <v>128</v>
      </c>
      <c r="D24" s="70" t="s">
        <v>129</v>
      </c>
      <c r="E24" s="70" t="s">
        <v>106</v>
      </c>
      <c r="F24" s="73">
        <v>91313368759</v>
      </c>
    </row>
    <row r="25" spans="2:8" x14ac:dyDescent="0.65">
      <c r="B25" s="68">
        <v>22</v>
      </c>
      <c r="C25" s="69" t="s">
        <v>130</v>
      </c>
      <c r="D25" s="70" t="s">
        <v>131</v>
      </c>
      <c r="E25" s="70" t="s">
        <v>132</v>
      </c>
      <c r="F25" s="73">
        <v>97073809935</v>
      </c>
    </row>
    <row r="26" spans="2:8" x14ac:dyDescent="0.65">
      <c r="B26" s="68">
        <v>23</v>
      </c>
      <c r="C26" s="69" t="s">
        <v>133</v>
      </c>
      <c r="D26" s="70" t="s">
        <v>134</v>
      </c>
      <c r="E26" s="70" t="s">
        <v>113</v>
      </c>
      <c r="F26" s="73" t="s">
        <v>135</v>
      </c>
      <c r="H26" t="s">
        <v>136</v>
      </c>
    </row>
    <row r="27" spans="2:8" x14ac:dyDescent="0.65">
      <c r="B27" s="68">
        <v>24</v>
      </c>
      <c r="C27" s="69" t="s">
        <v>137</v>
      </c>
      <c r="D27" s="70" t="s">
        <v>138</v>
      </c>
      <c r="E27" s="70" t="s">
        <v>139</v>
      </c>
      <c r="F27" s="73">
        <v>66812913320</v>
      </c>
      <c r="H27" t="s">
        <v>140</v>
      </c>
    </row>
    <row r="28" spans="2:8" x14ac:dyDescent="0.65">
      <c r="B28" s="68">
        <v>25</v>
      </c>
      <c r="C28" s="69" t="s">
        <v>141</v>
      </c>
      <c r="D28" s="70" t="s">
        <v>142</v>
      </c>
      <c r="E28" s="70" t="s">
        <v>124</v>
      </c>
      <c r="F28" s="73">
        <v>47928361295</v>
      </c>
    </row>
    <row r="29" spans="2:8" x14ac:dyDescent="0.65">
      <c r="B29" s="68">
        <v>26</v>
      </c>
      <c r="C29" s="69" t="s">
        <v>143</v>
      </c>
      <c r="D29" s="70" t="s">
        <v>144</v>
      </c>
      <c r="E29" s="70" t="s">
        <v>121</v>
      </c>
      <c r="F29" s="73">
        <v>50225720560</v>
      </c>
    </row>
    <row r="30" spans="2:8" x14ac:dyDescent="0.65">
      <c r="B30" s="84">
        <v>27</v>
      </c>
      <c r="C30" s="83" t="s">
        <v>145</v>
      </c>
      <c r="D30" s="85" t="s">
        <v>146</v>
      </c>
      <c r="E30" s="85" t="s">
        <v>139</v>
      </c>
      <c r="F30" s="86">
        <v>96593053298</v>
      </c>
      <c r="H30" s="87" t="s">
        <v>217</v>
      </c>
    </row>
    <row r="31" spans="2:8" x14ac:dyDescent="0.65">
      <c r="B31" s="68">
        <v>28</v>
      </c>
      <c r="C31" s="69" t="s">
        <v>147</v>
      </c>
      <c r="D31" s="70" t="s">
        <v>148</v>
      </c>
      <c r="E31" s="70" t="s">
        <v>121</v>
      </c>
      <c r="F31" s="73">
        <v>38336882900</v>
      </c>
    </row>
    <row r="32" spans="2:8" x14ac:dyDescent="0.65">
      <c r="B32" s="68">
        <v>29</v>
      </c>
      <c r="C32" s="69" t="s">
        <v>149</v>
      </c>
      <c r="D32" s="70" t="s">
        <v>150</v>
      </c>
      <c r="E32" s="70" t="s">
        <v>151</v>
      </c>
      <c r="F32" s="365">
        <v>24750520927</v>
      </c>
      <c r="G32" s="365"/>
      <c r="H32" t="s">
        <v>152</v>
      </c>
    </row>
    <row r="33" spans="2:8" x14ac:dyDescent="0.65">
      <c r="B33" s="68">
        <v>30</v>
      </c>
      <c r="C33" s="69" t="s">
        <v>153</v>
      </c>
      <c r="D33" s="70" t="s">
        <v>154</v>
      </c>
      <c r="E33" s="70" t="s">
        <v>121</v>
      </c>
      <c r="F33" s="73">
        <v>30911615139</v>
      </c>
      <c r="H33" t="s">
        <v>155</v>
      </c>
    </row>
    <row r="34" spans="2:8" x14ac:dyDescent="0.65">
      <c r="B34" s="68">
        <v>31</v>
      </c>
      <c r="C34" s="69" t="s">
        <v>156</v>
      </c>
      <c r="D34" s="70" t="s">
        <v>154</v>
      </c>
      <c r="E34" s="70" t="s">
        <v>69</v>
      </c>
      <c r="F34" s="73">
        <v>85950282250</v>
      </c>
      <c r="H34" t="s">
        <v>157</v>
      </c>
    </row>
    <row r="35" spans="2:8" x14ac:dyDescent="0.65">
      <c r="B35" s="68">
        <v>32</v>
      </c>
      <c r="C35" s="69" t="s">
        <v>158</v>
      </c>
      <c r="D35" s="70" t="s">
        <v>159</v>
      </c>
      <c r="E35" s="70" t="s">
        <v>160</v>
      </c>
      <c r="F35" s="73">
        <v>47764272151</v>
      </c>
    </row>
    <row r="36" spans="2:8" x14ac:dyDescent="0.65">
      <c r="B36" s="68">
        <v>33</v>
      </c>
      <c r="C36" s="69" t="s">
        <v>161</v>
      </c>
      <c r="D36" s="70" t="s">
        <v>162</v>
      </c>
      <c r="E36" s="70" t="s">
        <v>163</v>
      </c>
      <c r="F36" s="73">
        <v>94892488434</v>
      </c>
    </row>
    <row r="37" spans="2:8" x14ac:dyDescent="0.65">
      <c r="B37" s="68">
        <v>34</v>
      </c>
      <c r="C37" s="69" t="s">
        <v>164</v>
      </c>
      <c r="D37" s="70" t="s">
        <v>165</v>
      </c>
      <c r="E37" s="70" t="s">
        <v>166</v>
      </c>
      <c r="F37" s="73">
        <v>66862274938</v>
      </c>
      <c r="H37" t="s">
        <v>167</v>
      </c>
    </row>
    <row r="38" spans="2:8" x14ac:dyDescent="0.65">
      <c r="B38" s="68">
        <v>35</v>
      </c>
      <c r="C38" s="69" t="s">
        <v>168</v>
      </c>
      <c r="D38" s="70" t="s">
        <v>169</v>
      </c>
      <c r="E38" s="70" t="s">
        <v>170</v>
      </c>
      <c r="F38" s="73">
        <v>92365884395</v>
      </c>
    </row>
    <row r="39" spans="2:8" x14ac:dyDescent="0.65">
      <c r="B39" s="68">
        <v>36</v>
      </c>
      <c r="C39" s="69" t="s">
        <v>171</v>
      </c>
      <c r="D39" s="70" t="s">
        <v>172</v>
      </c>
      <c r="E39" s="70" t="s">
        <v>170</v>
      </c>
      <c r="F39" s="71" t="s">
        <v>173</v>
      </c>
      <c r="H39" t="s">
        <v>174</v>
      </c>
    </row>
    <row r="40" spans="2:8" x14ac:dyDescent="0.65">
      <c r="B40" s="68">
        <v>37</v>
      </c>
      <c r="C40" s="69" t="s">
        <v>175</v>
      </c>
      <c r="D40" s="70" t="s">
        <v>144</v>
      </c>
      <c r="E40" s="70" t="s">
        <v>69</v>
      </c>
      <c r="F40" s="73">
        <v>20802588816</v>
      </c>
    </row>
    <row r="41" spans="2:8" x14ac:dyDescent="0.65">
      <c r="B41" s="68">
        <v>38</v>
      </c>
      <c r="C41" s="69" t="s">
        <v>176</v>
      </c>
      <c r="D41" s="70" t="s">
        <v>177</v>
      </c>
      <c r="E41" s="70" t="s">
        <v>178</v>
      </c>
      <c r="F41" s="73">
        <v>41678051602</v>
      </c>
    </row>
    <row r="42" spans="2:8" x14ac:dyDescent="0.65">
      <c r="B42" s="68">
        <v>39</v>
      </c>
      <c r="C42" s="69" t="s">
        <v>179</v>
      </c>
      <c r="D42" s="70" t="s">
        <v>180</v>
      </c>
      <c r="E42" s="70" t="s">
        <v>181</v>
      </c>
      <c r="F42" s="73">
        <v>15921860232</v>
      </c>
    </row>
    <row r="43" spans="2:8" x14ac:dyDescent="0.65">
      <c r="B43" s="68">
        <v>40</v>
      </c>
      <c r="C43" s="69" t="s">
        <v>182</v>
      </c>
      <c r="D43" s="70" t="s">
        <v>183</v>
      </c>
      <c r="E43" s="70" t="s">
        <v>124</v>
      </c>
      <c r="F43" s="73">
        <v>69808063211</v>
      </c>
    </row>
    <row r="44" spans="2:8" x14ac:dyDescent="0.65">
      <c r="B44" s="68">
        <v>41</v>
      </c>
      <c r="C44" s="69" t="s">
        <v>184</v>
      </c>
      <c r="D44" s="70" t="s">
        <v>185</v>
      </c>
      <c r="E44" s="70" t="s">
        <v>5</v>
      </c>
      <c r="F44" s="73">
        <v>30162737179</v>
      </c>
    </row>
    <row r="45" spans="2:8" x14ac:dyDescent="0.65">
      <c r="B45" s="68">
        <v>42</v>
      </c>
      <c r="C45" s="69" t="s">
        <v>186</v>
      </c>
      <c r="D45" s="70" t="s">
        <v>187</v>
      </c>
      <c r="E45" s="70" t="s">
        <v>188</v>
      </c>
      <c r="F45" s="73">
        <v>52144029971</v>
      </c>
    </row>
    <row r="46" spans="2:8" x14ac:dyDescent="0.65">
      <c r="B46" s="68">
        <v>43</v>
      </c>
      <c r="C46" s="69" t="s">
        <v>189</v>
      </c>
      <c r="D46" s="70" t="s">
        <v>190</v>
      </c>
      <c r="E46" s="70" t="s">
        <v>191</v>
      </c>
      <c r="F46" s="73">
        <v>24319223773</v>
      </c>
    </row>
    <row r="47" spans="2:8" x14ac:dyDescent="0.65">
      <c r="B47" s="68">
        <v>44</v>
      </c>
      <c r="C47" s="69" t="s">
        <v>192</v>
      </c>
      <c r="D47" s="79" t="s">
        <v>193</v>
      </c>
      <c r="E47" s="79" t="s">
        <v>194</v>
      </c>
      <c r="F47" s="80" t="s">
        <v>195</v>
      </c>
      <c r="G47" s="81"/>
      <c r="H47" t="s">
        <v>196</v>
      </c>
    </row>
    <row r="48" spans="2:8" x14ac:dyDescent="0.65">
      <c r="B48" s="68">
        <v>45</v>
      </c>
      <c r="C48" s="69" t="s">
        <v>197</v>
      </c>
      <c r="D48" s="70" t="s">
        <v>198</v>
      </c>
      <c r="E48" s="70" t="s">
        <v>151</v>
      </c>
      <c r="F48" s="77">
        <v>15609218452</v>
      </c>
      <c r="H48" t="s">
        <v>199</v>
      </c>
    </row>
    <row r="49" spans="2:8" x14ac:dyDescent="0.65">
      <c r="B49" s="68">
        <v>46</v>
      </c>
      <c r="C49" s="69" t="s">
        <v>239</v>
      </c>
      <c r="D49" s="70" t="s">
        <v>241</v>
      </c>
      <c r="E49" s="70" t="s">
        <v>200</v>
      </c>
      <c r="F49" s="117" t="s">
        <v>242</v>
      </c>
      <c r="H49" t="s">
        <v>240</v>
      </c>
    </row>
    <row r="50" spans="2:8" x14ac:dyDescent="0.65">
      <c r="B50" s="68">
        <v>47</v>
      </c>
      <c r="C50" s="69" t="s">
        <v>201</v>
      </c>
      <c r="D50" s="70" t="s">
        <v>202</v>
      </c>
      <c r="E50" s="70" t="s">
        <v>203</v>
      </c>
      <c r="F50" s="77">
        <v>48080370118</v>
      </c>
      <c r="H50" t="s">
        <v>204</v>
      </c>
    </row>
    <row r="51" spans="2:8" x14ac:dyDescent="0.65">
      <c r="B51" s="68">
        <v>48</v>
      </c>
      <c r="C51" s="69" t="s">
        <v>205</v>
      </c>
      <c r="D51" s="82" t="s">
        <v>206</v>
      </c>
      <c r="E51" s="82" t="s">
        <v>5</v>
      </c>
      <c r="F51" s="77">
        <v>51871617138</v>
      </c>
      <c r="G51" s="78"/>
    </row>
    <row r="52" spans="2:8" x14ac:dyDescent="0.65">
      <c r="B52" s="68">
        <v>49</v>
      </c>
      <c r="C52" s="69" t="s">
        <v>207</v>
      </c>
      <c r="D52" s="70" t="s">
        <v>208</v>
      </c>
      <c r="E52" s="70" t="s">
        <v>209</v>
      </c>
      <c r="F52" s="77">
        <v>34048016360</v>
      </c>
      <c r="H52" t="s">
        <v>210</v>
      </c>
    </row>
    <row r="53" spans="2:8" x14ac:dyDescent="0.65">
      <c r="B53" s="68">
        <v>50</v>
      </c>
      <c r="C53" s="69" t="s">
        <v>212</v>
      </c>
      <c r="D53" s="70" t="s">
        <v>213</v>
      </c>
      <c r="E53" s="70" t="s">
        <v>214</v>
      </c>
      <c r="F53" s="80" t="s">
        <v>216</v>
      </c>
      <c r="H53" t="s">
        <v>215</v>
      </c>
    </row>
    <row r="54" spans="2:8" x14ac:dyDescent="0.65">
      <c r="B54" s="68">
        <v>51</v>
      </c>
      <c r="C54" s="69" t="s">
        <v>218</v>
      </c>
      <c r="D54" s="70" t="s">
        <v>219</v>
      </c>
      <c r="E54" s="70" t="s">
        <v>5</v>
      </c>
      <c r="F54" s="77">
        <v>96593053298</v>
      </c>
      <c r="H54" t="s">
        <v>220</v>
      </c>
    </row>
    <row r="55" spans="2:8" x14ac:dyDescent="0.65">
      <c r="B55" s="68">
        <v>52</v>
      </c>
      <c r="C55" s="69" t="s">
        <v>222</v>
      </c>
      <c r="D55" s="70" t="s">
        <v>223</v>
      </c>
      <c r="E55" s="70" t="s">
        <v>127</v>
      </c>
      <c r="F55" s="77">
        <v>56187812610</v>
      </c>
      <c r="H55" t="s">
        <v>85</v>
      </c>
    </row>
    <row r="56" spans="2:8" x14ac:dyDescent="0.65">
      <c r="B56" s="68">
        <v>53</v>
      </c>
      <c r="C56" s="69" t="s">
        <v>227</v>
      </c>
      <c r="D56" s="70" t="s">
        <v>228</v>
      </c>
      <c r="E56" s="70" t="s">
        <v>229</v>
      </c>
      <c r="F56" s="77">
        <v>16577932374</v>
      </c>
      <c r="H56" t="s">
        <v>230</v>
      </c>
    </row>
    <row r="57" spans="2:8" x14ac:dyDescent="0.45">
      <c r="B57" s="68">
        <v>54</v>
      </c>
      <c r="C57" s="95" t="s">
        <v>231</v>
      </c>
      <c r="D57" s="96" t="s">
        <v>232</v>
      </c>
      <c r="E57" s="97" t="s">
        <v>191</v>
      </c>
      <c r="F57" s="98" t="s">
        <v>233</v>
      </c>
      <c r="G57" s="98"/>
      <c r="H57" s="99" t="s">
        <v>234</v>
      </c>
    </row>
    <row r="58" spans="2:8" x14ac:dyDescent="0.65">
      <c r="B58" s="68">
        <v>55</v>
      </c>
      <c r="C58" s="69" t="s">
        <v>235</v>
      </c>
      <c r="D58" s="70" t="s">
        <v>236</v>
      </c>
      <c r="E58" s="70" t="s">
        <v>237</v>
      </c>
      <c r="F58" s="77">
        <v>75163602674</v>
      </c>
      <c r="H58" t="s">
        <v>238</v>
      </c>
    </row>
    <row r="59" spans="2:8" x14ac:dyDescent="0.65">
      <c r="B59" s="68">
        <v>56</v>
      </c>
      <c r="C59" s="69" t="s">
        <v>243</v>
      </c>
      <c r="D59" s="70" t="s">
        <v>244</v>
      </c>
      <c r="E59" s="70" t="s">
        <v>209</v>
      </c>
      <c r="F59" s="77">
        <v>58144747668</v>
      </c>
      <c r="H59" t="s">
        <v>245</v>
      </c>
    </row>
    <row r="60" spans="2:8" x14ac:dyDescent="0.65">
      <c r="B60" s="68">
        <v>57</v>
      </c>
      <c r="C60" s="69" t="s">
        <v>248</v>
      </c>
      <c r="D60" s="70" t="s">
        <v>249</v>
      </c>
      <c r="E60" s="70" t="s">
        <v>250</v>
      </c>
      <c r="F60" s="77">
        <v>50249432144</v>
      </c>
      <c r="H60" t="s">
        <v>251</v>
      </c>
    </row>
    <row r="61" spans="2:8" x14ac:dyDescent="0.65">
      <c r="B61" s="68">
        <v>58</v>
      </c>
      <c r="C61" s="69" t="s">
        <v>252</v>
      </c>
      <c r="D61" s="70" t="s">
        <v>253</v>
      </c>
      <c r="E61" s="70" t="s">
        <v>254</v>
      </c>
      <c r="F61" s="130">
        <v>38712344641</v>
      </c>
      <c r="H61" t="s">
        <v>255</v>
      </c>
    </row>
    <row r="62" spans="2:8" x14ac:dyDescent="0.65">
      <c r="B62" s="68">
        <v>59</v>
      </c>
      <c r="C62" s="69" t="s">
        <v>256</v>
      </c>
      <c r="D62" s="70" t="s">
        <v>257</v>
      </c>
      <c r="E62" s="70" t="s">
        <v>258</v>
      </c>
      <c r="F62" s="77">
        <v>82549583207</v>
      </c>
      <c r="H62" t="s">
        <v>259</v>
      </c>
    </row>
  </sheetData>
  <mergeCells count="1">
    <mergeCell ref="F32:G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8042-6D6F-4D3D-975A-E852E285918A}">
  <sheetPr codeName="Sheet2"/>
  <dimension ref="A1:E308"/>
  <sheetViews>
    <sheetView zoomScale="70" zoomScaleNormal="70" workbookViewId="0">
      <selection activeCell="G19" sqref="G19"/>
    </sheetView>
  </sheetViews>
  <sheetFormatPr defaultRowHeight="14.25" x14ac:dyDescent="0.45"/>
  <cols>
    <col min="1" max="1" width="15.46484375" customWidth="1"/>
    <col min="2" max="2" width="16.19921875" bestFit="1" customWidth="1"/>
    <col min="3" max="3" width="17" customWidth="1"/>
    <col min="4" max="4" width="30" customWidth="1"/>
  </cols>
  <sheetData>
    <row r="1" spans="1:5" ht="18" customHeight="1" x14ac:dyDescent="0.45">
      <c r="A1" s="369" t="s">
        <v>35</v>
      </c>
      <c r="B1" s="369"/>
      <c r="C1" s="369"/>
      <c r="D1" s="369"/>
    </row>
    <row r="2" spans="1:5" ht="20.55" customHeight="1" x14ac:dyDescent="0.55000000000000004">
      <c r="A2" s="51" t="s">
        <v>36</v>
      </c>
      <c r="B2" s="370" t="s">
        <v>37</v>
      </c>
      <c r="C2" s="371"/>
      <c r="D2" s="372"/>
    </row>
    <row r="3" spans="1:5" ht="20.55" customHeight="1" x14ac:dyDescent="0.55000000000000004">
      <c r="A3" s="51" t="s">
        <v>38</v>
      </c>
      <c r="B3" s="373" t="s">
        <v>39</v>
      </c>
      <c r="C3" s="371"/>
      <c r="D3" s="372"/>
    </row>
    <row r="4" spans="1:5" ht="19.8" customHeight="1" x14ac:dyDescent="0.55000000000000004">
      <c r="A4" s="51" t="s">
        <v>2</v>
      </c>
      <c r="B4" s="374">
        <v>58146597347</v>
      </c>
      <c r="C4" s="371"/>
      <c r="D4" s="372"/>
    </row>
    <row r="5" spans="1:5" ht="20.55" customHeight="1" x14ac:dyDescent="0.55000000000000004">
      <c r="A5" s="52" t="s">
        <v>40</v>
      </c>
      <c r="B5" s="374" t="s">
        <v>41</v>
      </c>
      <c r="C5" s="371"/>
      <c r="D5" s="372"/>
    </row>
    <row r="6" spans="1:5" ht="15.75" x14ac:dyDescent="0.5">
      <c r="C6" s="1"/>
    </row>
    <row r="7" spans="1:5" ht="19.8" customHeight="1" x14ac:dyDescent="0.45">
      <c r="A7" s="368" t="s">
        <v>42</v>
      </c>
      <c r="B7" s="368"/>
      <c r="C7" s="368"/>
      <c r="D7" s="368"/>
    </row>
    <row r="8" spans="1:5" ht="31.8" customHeight="1" x14ac:dyDescent="0.45">
      <c r="A8" s="53" t="s">
        <v>43</v>
      </c>
      <c r="B8" s="260">
        <f>'RADNI NALOG'!E3</f>
        <v>0</v>
      </c>
      <c r="C8" s="367"/>
      <c r="D8" s="261"/>
    </row>
    <row r="9" spans="1:5" ht="21.75" customHeight="1" x14ac:dyDescent="0.45">
      <c r="A9" s="51" t="s">
        <v>44</v>
      </c>
      <c r="B9" s="260"/>
      <c r="C9" s="367"/>
      <c r="D9" s="261"/>
    </row>
    <row r="10" spans="1:5" ht="22.8" customHeight="1" x14ac:dyDescent="0.45">
      <c r="A10" s="16" t="s">
        <v>45</v>
      </c>
      <c r="B10" s="260"/>
      <c r="C10" s="367"/>
      <c r="D10" s="261"/>
    </row>
    <row r="12" spans="1:5" ht="22.25" customHeight="1" x14ac:dyDescent="0.45">
      <c r="A12" s="54" t="s">
        <v>46</v>
      </c>
      <c r="B12" s="50"/>
      <c r="C12" s="54" t="s">
        <v>47</v>
      </c>
      <c r="D12" s="55"/>
    </row>
    <row r="14" spans="1:5" ht="22.8" customHeight="1" x14ac:dyDescent="0.45">
      <c r="A14" s="56" t="s">
        <v>48</v>
      </c>
      <c r="B14" s="57"/>
      <c r="C14" s="56" t="s">
        <v>49</v>
      </c>
      <c r="D14" s="58"/>
      <c r="E14" s="59"/>
    </row>
    <row r="15" spans="1:5" ht="27" customHeight="1" x14ac:dyDescent="0.45">
      <c r="A15" s="60" t="s">
        <v>50</v>
      </c>
      <c r="B15" s="60" t="s">
        <v>51</v>
      </c>
      <c r="C15" s="60" t="s">
        <v>52</v>
      </c>
      <c r="D15" s="60" t="s">
        <v>53</v>
      </c>
    </row>
    <row r="16" spans="1:5" ht="18.75" customHeight="1" x14ac:dyDescent="0.45">
      <c r="A16" s="61"/>
      <c r="B16" s="55">
        <f>'RADNI NALOG'!H5</f>
        <v>0</v>
      </c>
      <c r="C16" s="55" t="s">
        <v>54</v>
      </c>
      <c r="D16" s="63">
        <f>SUM('RADNI NALOG'!Q11:Q40)</f>
        <v>0</v>
      </c>
    </row>
    <row r="17" spans="1:4" ht="18.75" customHeight="1" x14ac:dyDescent="0.45">
      <c r="A17" s="62"/>
      <c r="B17" s="55"/>
      <c r="C17" s="55"/>
      <c r="D17" s="55"/>
    </row>
    <row r="18" spans="1:4" ht="18.75" customHeight="1" x14ac:dyDescent="0.45">
      <c r="A18" s="62"/>
      <c r="B18" s="55"/>
      <c r="C18" s="55"/>
      <c r="D18" s="55"/>
    </row>
    <row r="19" spans="1:4" ht="18.75" customHeight="1" x14ac:dyDescent="0.45">
      <c r="A19" s="62"/>
      <c r="B19" s="55"/>
      <c r="C19" s="55"/>
      <c r="D19" s="55"/>
    </row>
    <row r="20" spans="1:4" ht="18.75" customHeight="1" x14ac:dyDescent="0.45">
      <c r="A20" s="62"/>
      <c r="B20" s="55"/>
      <c r="C20" s="55"/>
      <c r="D20" s="55"/>
    </row>
    <row r="21" spans="1:4" ht="18.75" customHeight="1" x14ac:dyDescent="0.45">
      <c r="A21" s="62"/>
      <c r="B21" s="55"/>
      <c r="C21" s="55"/>
      <c r="D21" s="55"/>
    </row>
    <row r="22" spans="1:4" ht="18.75" customHeight="1" x14ac:dyDescent="0.45">
      <c r="A22" s="62"/>
      <c r="B22" s="55"/>
      <c r="C22" s="55"/>
      <c r="D22" s="55"/>
    </row>
    <row r="23" spans="1:4" ht="18.75" customHeight="1" x14ac:dyDescent="0.45">
      <c r="A23" s="62"/>
      <c r="B23" s="55"/>
      <c r="C23" s="55"/>
      <c r="D23" s="55"/>
    </row>
    <row r="24" spans="1:4" ht="18.75" customHeight="1" x14ac:dyDescent="0.45">
      <c r="A24" s="62"/>
      <c r="B24" s="55"/>
      <c r="C24" s="55"/>
      <c r="D24" s="55"/>
    </row>
    <row r="25" spans="1:4" ht="18.75" customHeight="1" x14ac:dyDescent="0.45">
      <c r="A25" s="62"/>
      <c r="B25" s="55"/>
      <c r="C25" s="55"/>
      <c r="D25" s="55"/>
    </row>
    <row r="26" spans="1:4" ht="18.75" customHeight="1" x14ac:dyDescent="0.45">
      <c r="A26" s="62"/>
      <c r="B26" s="55"/>
      <c r="C26" s="55"/>
      <c r="D26" s="55"/>
    </row>
    <row r="27" spans="1:4" ht="18.75" customHeight="1" x14ac:dyDescent="0.45">
      <c r="A27" s="62"/>
      <c r="B27" s="55"/>
      <c r="C27" s="55"/>
      <c r="D27" s="55"/>
    </row>
    <row r="28" spans="1:4" ht="18.75" customHeight="1" x14ac:dyDescent="0.45">
      <c r="A28" s="62"/>
      <c r="B28" s="55"/>
      <c r="C28" s="55"/>
      <c r="D28" s="55"/>
    </row>
    <row r="29" spans="1:4" ht="18.75" customHeight="1" x14ac:dyDescent="0.45">
      <c r="A29" s="62"/>
      <c r="B29" s="55"/>
      <c r="C29" s="55"/>
      <c r="D29" s="55"/>
    </row>
    <row r="30" spans="1:4" ht="18.75" customHeight="1" x14ac:dyDescent="0.45">
      <c r="A30" s="62"/>
      <c r="B30" s="55"/>
      <c r="C30" s="55"/>
      <c r="D30" s="55"/>
    </row>
    <row r="31" spans="1:4" ht="18.75" customHeight="1" x14ac:dyDescent="0.45">
      <c r="A31" s="55"/>
      <c r="B31" s="55"/>
      <c r="C31" s="55"/>
      <c r="D31" s="55"/>
    </row>
    <row r="32" spans="1:4" ht="18.75" customHeight="1" x14ac:dyDescent="0.45">
      <c r="A32" s="55"/>
      <c r="B32" s="55"/>
      <c r="C32" s="55"/>
      <c r="D32" s="55"/>
    </row>
    <row r="33" spans="1:4" ht="18.75" customHeight="1" x14ac:dyDescent="0.45">
      <c r="A33" s="55"/>
      <c r="B33" s="55"/>
      <c r="C33" s="55"/>
      <c r="D33" s="55"/>
    </row>
    <row r="34" spans="1:4" ht="18.75" customHeight="1" x14ac:dyDescent="0.45">
      <c r="A34" s="55"/>
      <c r="B34" s="55"/>
      <c r="C34" s="55"/>
      <c r="D34" s="55"/>
    </row>
    <row r="35" spans="1:4" ht="18.75" customHeight="1" x14ac:dyDescent="0.45">
      <c r="A35" s="55"/>
      <c r="B35" s="55"/>
      <c r="C35" s="55"/>
      <c r="D35" s="55"/>
    </row>
    <row r="36" spans="1:4" ht="18.75" customHeight="1" x14ac:dyDescent="0.45">
      <c r="A36" s="55"/>
      <c r="B36" s="55"/>
      <c r="C36" s="55"/>
      <c r="D36" s="55"/>
    </row>
    <row r="37" spans="1:4" ht="18.75" customHeight="1" x14ac:dyDescent="0.45">
      <c r="A37" s="55"/>
      <c r="B37" s="55"/>
      <c r="C37" s="55"/>
      <c r="D37" s="55"/>
    </row>
    <row r="38" spans="1:4" ht="18.75" customHeight="1" x14ac:dyDescent="0.45">
      <c r="A38" s="55"/>
      <c r="B38" s="55"/>
      <c r="C38" s="55"/>
      <c r="D38" s="55"/>
    </row>
    <row r="39" spans="1:4" ht="18.75" customHeight="1" x14ac:dyDescent="0.45"/>
    <row r="40" spans="1:4" ht="18.75" customHeight="1" x14ac:dyDescent="0.45"/>
    <row r="41" spans="1:4" ht="18.75" customHeight="1" x14ac:dyDescent="0.45"/>
    <row r="42" spans="1:4" ht="18.75" customHeight="1" x14ac:dyDescent="0.45"/>
    <row r="43" spans="1:4" ht="18.75" customHeight="1" x14ac:dyDescent="0.45"/>
    <row r="44" spans="1:4" ht="18.75" customHeight="1" x14ac:dyDescent="0.45"/>
    <row r="45" spans="1:4" ht="18.75" customHeight="1" x14ac:dyDescent="0.45"/>
    <row r="46" spans="1:4" ht="18.75" customHeight="1" x14ac:dyDescent="0.45"/>
    <row r="47" spans="1:4" ht="18.75" customHeight="1" x14ac:dyDescent="0.45"/>
    <row r="48" spans="1:4" ht="18.75" customHeight="1" x14ac:dyDescent="0.45"/>
    <row r="49" ht="18.75" customHeight="1" x14ac:dyDescent="0.45"/>
    <row r="50" ht="18.75" customHeight="1" x14ac:dyDescent="0.45"/>
    <row r="51" ht="18.75" customHeight="1" x14ac:dyDescent="0.45"/>
    <row r="52" ht="18.75" customHeight="1" x14ac:dyDescent="0.45"/>
    <row r="53" ht="18.75" customHeight="1" x14ac:dyDescent="0.45"/>
    <row r="54" ht="18.75" customHeight="1" x14ac:dyDescent="0.45"/>
    <row r="55" ht="18.75" customHeight="1" x14ac:dyDescent="0.45"/>
    <row r="56" ht="18.75" customHeight="1" x14ac:dyDescent="0.45"/>
    <row r="57" ht="18.75" customHeight="1" x14ac:dyDescent="0.45"/>
    <row r="58" ht="18.75" customHeight="1" x14ac:dyDescent="0.45"/>
    <row r="59" ht="18.75" customHeight="1" x14ac:dyDescent="0.45"/>
    <row r="60" ht="18.75" customHeight="1" x14ac:dyDescent="0.45"/>
    <row r="61" ht="18.75" customHeight="1" x14ac:dyDescent="0.45"/>
    <row r="62" ht="18.75" customHeight="1" x14ac:dyDescent="0.45"/>
    <row r="63" ht="18.75" customHeight="1" x14ac:dyDescent="0.45"/>
    <row r="64" ht="18.75" customHeight="1" x14ac:dyDescent="0.45"/>
    <row r="65" ht="18.75" customHeight="1" x14ac:dyDescent="0.45"/>
    <row r="66" ht="18.75" customHeight="1" x14ac:dyDescent="0.45"/>
    <row r="67" ht="18.75" customHeight="1" x14ac:dyDescent="0.45"/>
    <row r="68" ht="18.75" customHeight="1" x14ac:dyDescent="0.45"/>
    <row r="69" ht="18.75" customHeight="1" x14ac:dyDescent="0.45"/>
    <row r="70" ht="18.75" customHeight="1" x14ac:dyDescent="0.45"/>
    <row r="71" ht="18.75" customHeight="1" x14ac:dyDescent="0.45"/>
    <row r="72" ht="18.75" customHeight="1" x14ac:dyDescent="0.45"/>
    <row r="73" ht="18.75" customHeight="1" x14ac:dyDescent="0.45"/>
    <row r="74" ht="18.75" customHeight="1" x14ac:dyDescent="0.45"/>
    <row r="75" ht="18.75" customHeight="1" x14ac:dyDescent="0.45"/>
    <row r="76" ht="18.75" customHeight="1" x14ac:dyDescent="0.45"/>
    <row r="77" ht="18.75" customHeight="1" x14ac:dyDescent="0.45"/>
    <row r="78" ht="18.75" customHeight="1" x14ac:dyDescent="0.45"/>
    <row r="79" ht="18.75" customHeight="1" x14ac:dyDescent="0.45"/>
    <row r="80" ht="18.75" customHeight="1" x14ac:dyDescent="0.45"/>
    <row r="81" ht="18.75" customHeight="1" x14ac:dyDescent="0.45"/>
    <row r="82" ht="18.75" customHeight="1" x14ac:dyDescent="0.45"/>
    <row r="83" ht="18.75" customHeight="1" x14ac:dyDescent="0.45"/>
    <row r="84" ht="18.75" customHeight="1" x14ac:dyDescent="0.45"/>
    <row r="85" ht="18.75" customHeight="1" x14ac:dyDescent="0.45"/>
    <row r="86" ht="18.75" customHeight="1" x14ac:dyDescent="0.45"/>
    <row r="87" ht="18.75" customHeight="1" x14ac:dyDescent="0.45"/>
    <row r="88" ht="18.75" customHeight="1" x14ac:dyDescent="0.45"/>
    <row r="89" ht="18.75" customHeight="1" x14ac:dyDescent="0.45"/>
    <row r="90" ht="18.75" customHeight="1" x14ac:dyDescent="0.45"/>
    <row r="91" ht="18.75" customHeight="1" x14ac:dyDescent="0.45"/>
    <row r="92" ht="18.75" customHeight="1" x14ac:dyDescent="0.45"/>
    <row r="93" ht="18.75" customHeight="1" x14ac:dyDescent="0.45"/>
    <row r="94" ht="18.75" customHeight="1" x14ac:dyDescent="0.45"/>
    <row r="95" ht="18.75" customHeight="1" x14ac:dyDescent="0.45"/>
    <row r="96" ht="18.75" customHeight="1" x14ac:dyDescent="0.45"/>
    <row r="97" ht="18.75" customHeight="1" x14ac:dyDescent="0.45"/>
    <row r="98" ht="18.75" customHeight="1" x14ac:dyDescent="0.45"/>
    <row r="99" ht="18.75" customHeight="1" x14ac:dyDescent="0.45"/>
    <row r="100" ht="18.75" customHeight="1" x14ac:dyDescent="0.45"/>
    <row r="101" ht="18.75" customHeight="1" x14ac:dyDescent="0.45"/>
    <row r="102" ht="18.75" customHeight="1" x14ac:dyDescent="0.45"/>
    <row r="103" ht="18.75" customHeight="1" x14ac:dyDescent="0.45"/>
    <row r="104" ht="18.75" customHeight="1" x14ac:dyDescent="0.45"/>
    <row r="105" ht="18.75" customHeight="1" x14ac:dyDescent="0.45"/>
    <row r="106" ht="18.75" customHeight="1" x14ac:dyDescent="0.45"/>
    <row r="107" ht="18.75" customHeight="1" x14ac:dyDescent="0.45"/>
    <row r="108" ht="18.75" customHeight="1" x14ac:dyDescent="0.45"/>
    <row r="109" ht="18.75" customHeight="1" x14ac:dyDescent="0.45"/>
    <row r="110" ht="18.75" customHeight="1" x14ac:dyDescent="0.45"/>
    <row r="111" ht="18.75" customHeight="1" x14ac:dyDescent="0.45"/>
    <row r="112" ht="18.75" customHeight="1" x14ac:dyDescent="0.45"/>
    <row r="113" ht="18.75" customHeight="1" x14ac:dyDescent="0.45"/>
    <row r="114" ht="18.75" customHeight="1" x14ac:dyDescent="0.45"/>
    <row r="115" ht="18.75" customHeight="1" x14ac:dyDescent="0.45"/>
    <row r="116" ht="18.75" customHeight="1" x14ac:dyDescent="0.45"/>
    <row r="117" ht="18.75" customHeight="1" x14ac:dyDescent="0.45"/>
    <row r="118" ht="18.75" customHeight="1" x14ac:dyDescent="0.45"/>
    <row r="119" ht="18.75" customHeight="1" x14ac:dyDescent="0.45"/>
    <row r="120" ht="18.75" customHeight="1" x14ac:dyDescent="0.45"/>
    <row r="121" ht="18.75" customHeight="1" x14ac:dyDescent="0.45"/>
    <row r="122" ht="18.75" customHeight="1" x14ac:dyDescent="0.45"/>
    <row r="123" ht="18.75" customHeight="1" x14ac:dyDescent="0.45"/>
    <row r="124" ht="18.75" customHeight="1" x14ac:dyDescent="0.45"/>
    <row r="125" ht="18.75" customHeight="1" x14ac:dyDescent="0.45"/>
    <row r="126" ht="18.75" customHeight="1" x14ac:dyDescent="0.45"/>
    <row r="127" ht="18.75" customHeight="1" x14ac:dyDescent="0.45"/>
    <row r="128" ht="18.75" customHeight="1" x14ac:dyDescent="0.45"/>
    <row r="129" ht="18.75" customHeight="1" x14ac:dyDescent="0.45"/>
    <row r="130" ht="18.75" customHeight="1" x14ac:dyDescent="0.45"/>
    <row r="131" ht="18.75" customHeight="1" x14ac:dyDescent="0.45"/>
    <row r="132" ht="18.75" customHeight="1" x14ac:dyDescent="0.45"/>
    <row r="133" ht="18.75" customHeight="1" x14ac:dyDescent="0.45"/>
    <row r="134" ht="18.75" customHeight="1" x14ac:dyDescent="0.45"/>
    <row r="135" ht="18.75" customHeight="1" x14ac:dyDescent="0.45"/>
    <row r="136" ht="18.75" customHeight="1" x14ac:dyDescent="0.45"/>
    <row r="137" ht="18.75" customHeight="1" x14ac:dyDescent="0.45"/>
    <row r="138" ht="18.75" customHeight="1" x14ac:dyDescent="0.45"/>
    <row r="139" ht="18.75" customHeight="1" x14ac:dyDescent="0.45"/>
    <row r="140" ht="18.75" customHeight="1" x14ac:dyDescent="0.45"/>
    <row r="141" ht="18.75" customHeight="1" x14ac:dyDescent="0.45"/>
    <row r="142" ht="18.75" customHeight="1" x14ac:dyDescent="0.45"/>
    <row r="143" ht="18.75" customHeight="1" x14ac:dyDescent="0.45"/>
    <row r="144" ht="18.75" customHeight="1" x14ac:dyDescent="0.45"/>
    <row r="145" ht="18.75" customHeight="1" x14ac:dyDescent="0.45"/>
    <row r="146" ht="18.75" customHeight="1" x14ac:dyDescent="0.45"/>
    <row r="147" ht="18.75" customHeight="1" x14ac:dyDescent="0.45"/>
    <row r="148" ht="18.75" customHeight="1" x14ac:dyDescent="0.45"/>
    <row r="149" ht="18.75" customHeight="1" x14ac:dyDescent="0.45"/>
    <row r="150" ht="18.75" customHeight="1" x14ac:dyDescent="0.45"/>
    <row r="151" ht="18.75" customHeight="1" x14ac:dyDescent="0.45"/>
    <row r="152" ht="18.75" customHeight="1" x14ac:dyDescent="0.45"/>
    <row r="153" ht="18.75" customHeight="1" x14ac:dyDescent="0.45"/>
    <row r="154" ht="18.75" customHeight="1" x14ac:dyDescent="0.45"/>
    <row r="155" ht="18.75" customHeight="1" x14ac:dyDescent="0.45"/>
    <row r="156" ht="18.75" customHeight="1" x14ac:dyDescent="0.45"/>
    <row r="157" ht="18.75" customHeight="1" x14ac:dyDescent="0.45"/>
    <row r="158" ht="18.75" customHeight="1" x14ac:dyDescent="0.45"/>
    <row r="159" ht="18.75" customHeight="1" x14ac:dyDescent="0.45"/>
    <row r="160" ht="18.75" customHeight="1" x14ac:dyDescent="0.45"/>
    <row r="161" ht="18.75" customHeight="1" x14ac:dyDescent="0.45"/>
    <row r="162" ht="18.75" customHeight="1" x14ac:dyDescent="0.45"/>
    <row r="163" ht="18.75" customHeight="1" x14ac:dyDescent="0.45"/>
    <row r="164" ht="18.75" customHeight="1" x14ac:dyDescent="0.45"/>
    <row r="165" ht="18.75" customHeight="1" x14ac:dyDescent="0.45"/>
    <row r="166" ht="18.75" customHeight="1" x14ac:dyDescent="0.45"/>
    <row r="167" ht="18.75" customHeight="1" x14ac:dyDescent="0.45"/>
    <row r="168" ht="18.75" customHeight="1" x14ac:dyDescent="0.45"/>
    <row r="169" ht="18.75" customHeight="1" x14ac:dyDescent="0.45"/>
    <row r="170" ht="18.75" customHeight="1" x14ac:dyDescent="0.45"/>
    <row r="171" ht="18.75" customHeight="1" x14ac:dyDescent="0.45"/>
    <row r="172" ht="18.75" customHeight="1" x14ac:dyDescent="0.45"/>
    <row r="293" spans="2:3" x14ac:dyDescent="0.45">
      <c r="B293" s="366"/>
      <c r="C293" s="366"/>
    </row>
    <row r="294" spans="2:3" x14ac:dyDescent="0.45">
      <c r="B294" s="366"/>
      <c r="C294" s="366"/>
    </row>
    <row r="295" spans="2:3" x14ac:dyDescent="0.45">
      <c r="B295" s="366"/>
      <c r="C295" s="366"/>
    </row>
    <row r="296" spans="2:3" x14ac:dyDescent="0.45">
      <c r="B296" s="366"/>
      <c r="C296" s="366"/>
    </row>
    <row r="297" spans="2:3" x14ac:dyDescent="0.45">
      <c r="B297" s="366"/>
      <c r="C297" s="366"/>
    </row>
    <row r="298" spans="2:3" x14ac:dyDescent="0.45">
      <c r="B298" s="366"/>
      <c r="C298" s="366"/>
    </row>
    <row r="299" spans="2:3" x14ac:dyDescent="0.45">
      <c r="B299" s="366"/>
      <c r="C299" s="366"/>
    </row>
    <row r="300" spans="2:3" x14ac:dyDescent="0.45">
      <c r="B300" s="366"/>
      <c r="C300" s="366"/>
    </row>
    <row r="301" spans="2:3" x14ac:dyDescent="0.45">
      <c r="B301" s="366"/>
      <c r="C301" s="366"/>
    </row>
    <row r="302" spans="2:3" x14ac:dyDescent="0.45">
      <c r="B302" s="366"/>
      <c r="C302" s="366"/>
    </row>
    <row r="303" spans="2:3" x14ac:dyDescent="0.45">
      <c r="B303" s="366"/>
      <c r="C303" s="366"/>
    </row>
    <row r="304" spans="2:3" x14ac:dyDescent="0.45">
      <c r="B304" s="366"/>
      <c r="C304" s="366"/>
    </row>
    <row r="305" spans="2:3" x14ac:dyDescent="0.45">
      <c r="B305" s="366"/>
      <c r="C305" s="366"/>
    </row>
    <row r="306" spans="2:3" x14ac:dyDescent="0.45">
      <c r="B306" s="366"/>
      <c r="C306" s="366"/>
    </row>
    <row r="307" spans="2:3" x14ac:dyDescent="0.45">
      <c r="B307" s="366"/>
      <c r="C307" s="366"/>
    </row>
    <row r="308" spans="2:3" x14ac:dyDescent="0.45">
      <c r="B308" s="366"/>
      <c r="C308" s="366"/>
    </row>
  </sheetData>
  <mergeCells count="25">
    <mergeCell ref="A7:D7"/>
    <mergeCell ref="A1:D1"/>
    <mergeCell ref="B2:D2"/>
    <mergeCell ref="B3:D3"/>
    <mergeCell ref="B4:D4"/>
    <mergeCell ref="B5:D5"/>
    <mergeCell ref="B301:C301"/>
    <mergeCell ref="B8:D8"/>
    <mergeCell ref="B9:D9"/>
    <mergeCell ref="B10:D10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8:C308"/>
    <mergeCell ref="B302:C302"/>
    <mergeCell ref="B303:C303"/>
    <mergeCell ref="B304:C304"/>
    <mergeCell ref="B305:C305"/>
    <mergeCell ref="B306:C306"/>
    <mergeCell ref="B307:C307"/>
  </mergeCells>
  <hyperlinks>
    <hyperlink ref="B3" r:id="rId1" xr:uid="{CF6DC56D-CB15-4DF7-9735-943CDBDBE39F}"/>
  </hyperlinks>
  <pageMargins left="0.7" right="0.7" top="0.75" bottom="0.75" header="0.3" footer="0.3"/>
  <pageSetup paperSize="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3</vt:i4>
      </vt:variant>
      <vt:variant>
        <vt:lpstr>Imenovani rasponi</vt:lpstr>
      </vt:variant>
      <vt:variant>
        <vt:i4>1</vt:i4>
      </vt:variant>
    </vt:vector>
  </HeadingPairs>
  <TitlesOfParts>
    <vt:vector size="4" baseType="lpstr">
      <vt:lpstr>RADNI NALOG</vt:lpstr>
      <vt:lpstr>KUPCI</vt:lpstr>
      <vt:lpstr>OTPREMNICA</vt:lpstr>
      <vt:lpstr>'RADNI NALOG'!Podrucje_ispisa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Jekic</dc:creator>
  <cp:lastModifiedBy>Klesarija Hrast</cp:lastModifiedBy>
  <cp:lastPrinted>2025-10-13T12:48:45Z</cp:lastPrinted>
  <dcterms:created xsi:type="dcterms:W3CDTF">2020-02-24T17:40:20Z</dcterms:created>
  <dcterms:modified xsi:type="dcterms:W3CDTF">2025-10-15T13:37:27Z</dcterms:modified>
</cp:coreProperties>
</file>